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uel Souza\Downloads\"/>
    </mc:Choice>
  </mc:AlternateContent>
  <xr:revisionPtr revIDLastSave="0" documentId="13_ncr:1_{B2A60829-1B02-405E-9F84-75F03FF59DE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ainel" sheetId="1" r:id="rId1"/>
    <sheet name="Painel Geral" sheetId="2" r:id="rId2"/>
    <sheet name="Log Diário" sheetId="3" r:id="rId3"/>
    <sheet name="CWA - Referência" sheetId="4" r:id="rId4"/>
    <sheet name="Rogério Matos" sheetId="5" r:id="rId5"/>
    <sheet name="Marcos Antonio" sheetId="6" r:id="rId6"/>
    <sheet name="Rafael Vieira" sheetId="7" r:id="rId7"/>
    <sheet name="Edigar Barreto" sheetId="8" r:id="rId8"/>
    <sheet name="Charles Johnson" sheetId="9" r:id="rId9"/>
    <sheet name="Daniel Henrique" sheetId="10" r:id="rId10"/>
    <sheet name="Renan" sheetId="11" r:id="rId11"/>
    <sheet name="_Datas" sheetId="12" state="hidden" r:id="rId12"/>
    <sheet name="_CWAs" sheetId="13" state="hidden" r:id="rId13"/>
  </sheets>
  <definedNames>
    <definedName name="_xlnm.Print_Area" localSheetId="8">'Charles Johnson'!$A$1:$N$43</definedName>
    <definedName name="_xlnm.Print_Area" localSheetId="9">'Daniel Henrique'!$A$1:$N$43</definedName>
    <definedName name="_xlnm.Print_Area" localSheetId="7">'Edigar Barreto'!$A$1:$N$43</definedName>
    <definedName name="_xlnm.Print_Area" localSheetId="5">'Marcos Antonio'!$A$1:$N$43</definedName>
    <definedName name="_xlnm.Print_Area" localSheetId="1">'Painel Geral'!$A$1:$M$51</definedName>
    <definedName name="_xlnm.Print_Area" localSheetId="6">'Rafael Vieira'!$A$1:$N$43</definedName>
    <definedName name="_xlnm.Print_Area" localSheetId="10">Renan!$A$1:$N$43</definedName>
    <definedName name="_xlnm.Print_Area" localSheetId="4">'Rogério Matos'!$A$1:$N$43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5" i="11" l="1"/>
  <c r="C205" i="11" s="1"/>
  <c r="D204" i="11"/>
  <c r="C204" i="11"/>
  <c r="D203" i="11"/>
  <c r="C203" i="11" s="1"/>
  <c r="D202" i="11"/>
  <c r="C202" i="11" s="1"/>
  <c r="D201" i="11"/>
  <c r="C201" i="11" s="1"/>
  <c r="D200" i="11"/>
  <c r="C200" i="11" s="1"/>
  <c r="C41" i="11"/>
  <c r="M39" i="11" a="1"/>
  <c r="M39" i="11" s="1"/>
  <c r="K39" i="11" a="1"/>
  <c r="K39" i="11" s="1"/>
  <c r="F39" i="11" a="1"/>
  <c r="F39" i="11" s="1"/>
  <c r="E39" i="11" a="1"/>
  <c r="E39" i="11"/>
  <c r="D39" i="11" a="1"/>
  <c r="D39" i="11" s="1"/>
  <c r="C39" i="11" a="1"/>
  <c r="C39" i="11" s="1"/>
  <c r="M38" i="11" a="1"/>
  <c r="M38" i="11" s="1"/>
  <c r="K38" i="11" a="1"/>
  <c r="K38" i="11"/>
  <c r="F38" i="11" a="1"/>
  <c r="F38" i="11" s="1"/>
  <c r="E38" i="11" a="1"/>
  <c r="E38" i="11" s="1"/>
  <c r="D38" i="11" a="1"/>
  <c r="D38" i="11" s="1"/>
  <c r="C38" i="11" a="1"/>
  <c r="C38" i="11"/>
  <c r="M37" i="11" a="1"/>
  <c r="M37" i="11" s="1"/>
  <c r="K37" i="11" a="1"/>
  <c r="K37" i="11" s="1"/>
  <c r="F37" i="11" a="1"/>
  <c r="F37" i="11" s="1"/>
  <c r="E37" i="11" a="1"/>
  <c r="E37" i="11"/>
  <c r="D37" i="11" a="1"/>
  <c r="D37" i="11" s="1"/>
  <c r="C37" i="11" a="1"/>
  <c r="C37" i="11" s="1"/>
  <c r="M36" i="11" a="1"/>
  <c r="M36" i="11" s="1"/>
  <c r="K36" i="11" a="1"/>
  <c r="K36" i="11"/>
  <c r="F36" i="11" a="1"/>
  <c r="F36" i="11" s="1"/>
  <c r="E36" i="11" a="1"/>
  <c r="E36" i="11" s="1"/>
  <c r="D36" i="11" a="1"/>
  <c r="D36" i="11" s="1"/>
  <c r="C36" i="11" a="1"/>
  <c r="C36" i="11"/>
  <c r="M35" i="11" a="1"/>
  <c r="M35" i="11" s="1"/>
  <c r="K35" i="11" a="1"/>
  <c r="K35" i="11" s="1"/>
  <c r="F35" i="11" a="1"/>
  <c r="F35" i="11" s="1"/>
  <c r="E35" i="11" a="1"/>
  <c r="E35" i="11"/>
  <c r="D35" i="11" a="1"/>
  <c r="D35" i="11" s="1"/>
  <c r="C35" i="11" a="1"/>
  <c r="C35" i="11" s="1"/>
  <c r="M34" i="11" a="1"/>
  <c r="M34" i="11" s="1"/>
  <c r="K34" i="11" a="1"/>
  <c r="K34" i="11"/>
  <c r="F34" i="11" a="1"/>
  <c r="F34" i="11" s="1"/>
  <c r="E34" i="11" a="1"/>
  <c r="E34" i="11" s="1"/>
  <c r="D34" i="11" a="1"/>
  <c r="D34" i="11" s="1"/>
  <c r="C34" i="11" a="1"/>
  <c r="C34" i="11"/>
  <c r="M33" i="11" a="1"/>
  <c r="M33" i="11" s="1"/>
  <c r="K33" i="11" a="1"/>
  <c r="K33" i="11" s="1"/>
  <c r="F33" i="11" a="1"/>
  <c r="F33" i="11" s="1"/>
  <c r="E33" i="11" a="1"/>
  <c r="E33" i="11"/>
  <c r="D33" i="11" a="1"/>
  <c r="D33" i="11" s="1"/>
  <c r="C33" i="11" a="1"/>
  <c r="C33" i="11" s="1"/>
  <c r="M32" i="11" a="1"/>
  <c r="M32" i="11" s="1"/>
  <c r="K32" i="11" a="1"/>
  <c r="K32" i="11"/>
  <c r="F32" i="11" a="1"/>
  <c r="F32" i="11" s="1"/>
  <c r="E32" i="11" a="1"/>
  <c r="E32" i="11" s="1"/>
  <c r="D32" i="11" a="1"/>
  <c r="D32" i="11" s="1"/>
  <c r="C32" i="11" a="1"/>
  <c r="C32" i="11"/>
  <c r="M31" i="11" a="1"/>
  <c r="M31" i="11" s="1"/>
  <c r="K31" i="11" a="1"/>
  <c r="K31" i="11" s="1"/>
  <c r="F31" i="11" a="1"/>
  <c r="F31" i="11" s="1"/>
  <c r="E31" i="11" a="1"/>
  <c r="E31" i="11"/>
  <c r="D31" i="11" a="1"/>
  <c r="D31" i="11" s="1"/>
  <c r="C31" i="11" a="1"/>
  <c r="C31" i="11" s="1"/>
  <c r="M30" i="11" a="1"/>
  <c r="M30" i="11" s="1"/>
  <c r="K30" i="11" a="1"/>
  <c r="K30" i="11"/>
  <c r="F30" i="11" a="1"/>
  <c r="F30" i="11" s="1"/>
  <c r="E30" i="11" a="1"/>
  <c r="E30" i="11" s="1"/>
  <c r="D30" i="11" a="1"/>
  <c r="D30" i="11" s="1"/>
  <c r="C30" i="11" a="1"/>
  <c r="C30" i="11"/>
  <c r="C28" i="11"/>
  <c r="H16" i="11" a="1"/>
  <c r="H16" i="11" s="1"/>
  <c r="H13" i="11"/>
  <c r="C10" i="11"/>
  <c r="K6" i="11"/>
  <c r="G6" i="11"/>
  <c r="C6" i="11"/>
  <c r="M3" i="11"/>
  <c r="D205" i="10"/>
  <c r="C205" i="10"/>
  <c r="D204" i="10"/>
  <c r="C204" i="10"/>
  <c r="D203" i="10"/>
  <c r="C203" i="10"/>
  <c r="D202" i="10"/>
  <c r="C202" i="10"/>
  <c r="D201" i="10"/>
  <c r="C201" i="10" s="1"/>
  <c r="D200" i="10"/>
  <c r="C200" i="10"/>
  <c r="C41" i="10"/>
  <c r="M39" i="10" a="1"/>
  <c r="M39" i="10"/>
  <c r="K39" i="10" a="1"/>
  <c r="K39" i="10" s="1"/>
  <c r="F39" i="10" a="1"/>
  <c r="F39" i="10" s="1"/>
  <c r="E39" i="10" a="1"/>
  <c r="E39" i="10" s="1"/>
  <c r="D39" i="10" a="1"/>
  <c r="D39" i="10"/>
  <c r="C39" i="10" a="1"/>
  <c r="C39" i="10"/>
  <c r="M38" i="10" a="1"/>
  <c r="M38" i="10" s="1"/>
  <c r="K38" i="10" a="1"/>
  <c r="K38" i="10" s="1"/>
  <c r="F38" i="10" a="1"/>
  <c r="F38" i="10"/>
  <c r="E38" i="10" a="1"/>
  <c r="E38" i="10" s="1"/>
  <c r="D38" i="10" a="1"/>
  <c r="D38" i="10" s="1"/>
  <c r="C38" i="10" a="1"/>
  <c r="C38" i="10" s="1"/>
  <c r="M37" i="10" a="1"/>
  <c r="M37" i="10"/>
  <c r="K37" i="10" a="1"/>
  <c r="K37" i="10"/>
  <c r="F37" i="10" a="1"/>
  <c r="F37" i="10" s="1"/>
  <c r="E37" i="10" a="1"/>
  <c r="E37" i="10" s="1"/>
  <c r="D37" i="10" a="1"/>
  <c r="D37" i="10"/>
  <c r="C37" i="10" a="1"/>
  <c r="C37" i="10" s="1"/>
  <c r="M36" i="10" a="1"/>
  <c r="M36" i="10" s="1"/>
  <c r="K36" i="10" a="1"/>
  <c r="K36" i="10" s="1"/>
  <c r="F36" i="10" a="1"/>
  <c r="F36" i="10"/>
  <c r="E36" i="10" a="1"/>
  <c r="E36" i="10"/>
  <c r="D36" i="10" a="1"/>
  <c r="D36" i="10" s="1"/>
  <c r="C36" i="10" a="1"/>
  <c r="C36" i="10" s="1"/>
  <c r="M35" i="10" a="1"/>
  <c r="M35" i="10"/>
  <c r="K35" i="10" a="1"/>
  <c r="K35" i="10" s="1"/>
  <c r="F35" i="10" a="1"/>
  <c r="F35" i="10" s="1"/>
  <c r="E35" i="10" a="1"/>
  <c r="E35" i="10" s="1"/>
  <c r="D35" i="10" a="1"/>
  <c r="D35" i="10" s="1"/>
  <c r="C35" i="10" a="1"/>
  <c r="C35" i="10"/>
  <c r="M34" i="10" a="1"/>
  <c r="M34" i="10" s="1"/>
  <c r="K34" i="10" a="1"/>
  <c r="K34" i="10" s="1"/>
  <c r="F34" i="10" a="1"/>
  <c r="F34" i="10"/>
  <c r="E34" i="10" a="1"/>
  <c r="E34" i="10" s="1"/>
  <c r="D34" i="10" a="1"/>
  <c r="D34" i="10" s="1"/>
  <c r="C34" i="10" a="1"/>
  <c r="C34" i="10" s="1"/>
  <c r="M33" i="10" a="1"/>
  <c r="M33" i="10"/>
  <c r="K33" i="10" a="1"/>
  <c r="K33" i="10"/>
  <c r="F33" i="10" a="1"/>
  <c r="F33" i="10" s="1"/>
  <c r="E33" i="10" a="1"/>
  <c r="E33" i="10" s="1"/>
  <c r="D33" i="10" a="1"/>
  <c r="D33" i="10" s="1"/>
  <c r="C33" i="10" a="1"/>
  <c r="C33" i="10" s="1"/>
  <c r="M32" i="10" a="1"/>
  <c r="M32" i="10" s="1"/>
  <c r="K32" i="10" a="1"/>
  <c r="K32" i="10" s="1"/>
  <c r="F32" i="10" a="1"/>
  <c r="F32" i="10"/>
  <c r="E32" i="10" a="1"/>
  <c r="E32" i="10"/>
  <c r="D32" i="10" a="1"/>
  <c r="D32" i="10" s="1"/>
  <c r="C32" i="10" a="1"/>
  <c r="C32" i="10" s="1"/>
  <c r="M31" i="10" a="1"/>
  <c r="M31" i="10" s="1"/>
  <c r="K31" i="10" a="1"/>
  <c r="K31" i="10" s="1"/>
  <c r="F31" i="10" a="1"/>
  <c r="F31" i="10" s="1"/>
  <c r="E31" i="10" a="1"/>
  <c r="E31" i="10" s="1"/>
  <c r="D31" i="10" a="1"/>
  <c r="D31" i="10"/>
  <c r="C31" i="10" a="1"/>
  <c r="C31" i="10"/>
  <c r="M30" i="10" a="1"/>
  <c r="M30" i="10" s="1"/>
  <c r="K30" i="10" a="1"/>
  <c r="K30" i="10" s="1"/>
  <c r="F30" i="10" a="1"/>
  <c r="F30" i="10" s="1"/>
  <c r="E30" i="10" a="1"/>
  <c r="E30" i="10" s="1"/>
  <c r="D30" i="10" a="1"/>
  <c r="D30" i="10" s="1"/>
  <c r="C30" i="10" a="1"/>
  <c r="C30" i="10" s="1"/>
  <c r="C28" i="10"/>
  <c r="H16" i="10" a="1"/>
  <c r="H16" i="10" s="1"/>
  <c r="H13" i="10"/>
  <c r="C10" i="10"/>
  <c r="K6" i="10"/>
  <c r="G6" i="10"/>
  <c r="C6" i="10"/>
  <c r="M3" i="10"/>
  <c r="D205" i="9"/>
  <c r="C205" i="9"/>
  <c r="D204" i="9"/>
  <c r="C204" i="9"/>
  <c r="D203" i="9"/>
  <c r="C203" i="9"/>
  <c r="D202" i="9"/>
  <c r="C202" i="9"/>
  <c r="D201" i="9"/>
  <c r="C201" i="9" s="1"/>
  <c r="D200" i="9"/>
  <c r="C200" i="9" s="1"/>
  <c r="C41" i="9"/>
  <c r="M39" i="9" a="1"/>
  <c r="M39" i="9" s="1"/>
  <c r="K39" i="9" a="1"/>
  <c r="K39" i="9" s="1"/>
  <c r="F39" i="9" a="1"/>
  <c r="F39" i="9" s="1"/>
  <c r="E39" i="9" a="1"/>
  <c r="E39" i="9" s="1"/>
  <c r="D39" i="9" a="1"/>
  <c r="D39" i="9" s="1"/>
  <c r="C39" i="9" a="1"/>
  <c r="C39" i="9"/>
  <c r="M38" i="9" a="1"/>
  <c r="M38" i="9"/>
  <c r="K38" i="9" a="1"/>
  <c r="K38" i="9" s="1"/>
  <c r="F38" i="9" a="1"/>
  <c r="F38" i="9" s="1"/>
  <c r="E38" i="9" a="1"/>
  <c r="E38" i="9" s="1"/>
  <c r="D38" i="9" a="1"/>
  <c r="D38" i="9" s="1"/>
  <c r="C38" i="9" a="1"/>
  <c r="C38" i="9" s="1"/>
  <c r="M37" i="9" a="1"/>
  <c r="M37" i="9" s="1"/>
  <c r="K37" i="9" a="1"/>
  <c r="K37" i="9"/>
  <c r="F37" i="9" a="1"/>
  <c r="F37" i="9"/>
  <c r="E37" i="9" a="1"/>
  <c r="E37" i="9" s="1"/>
  <c r="D37" i="9" a="1"/>
  <c r="D37" i="9" s="1"/>
  <c r="C37" i="9" a="1"/>
  <c r="C37" i="9" s="1"/>
  <c r="M36" i="9" a="1"/>
  <c r="M36" i="9" s="1"/>
  <c r="K36" i="9" a="1"/>
  <c r="K36" i="9" s="1"/>
  <c r="F36" i="9" a="1"/>
  <c r="F36" i="9" s="1"/>
  <c r="E36" i="9" a="1"/>
  <c r="E36" i="9"/>
  <c r="D36" i="9" a="1"/>
  <c r="D36" i="9"/>
  <c r="C36" i="9" a="1"/>
  <c r="C36" i="9" s="1"/>
  <c r="M35" i="9" a="1"/>
  <c r="M35" i="9" s="1"/>
  <c r="K35" i="9" a="1"/>
  <c r="K35" i="9" s="1"/>
  <c r="F35" i="9" a="1"/>
  <c r="F35" i="9" s="1"/>
  <c r="E35" i="9" a="1"/>
  <c r="E35" i="9" s="1"/>
  <c r="D35" i="9" a="1"/>
  <c r="D35" i="9" s="1"/>
  <c r="C35" i="9" a="1"/>
  <c r="C35" i="9"/>
  <c r="M34" i="9" a="1"/>
  <c r="M34" i="9"/>
  <c r="K34" i="9" a="1"/>
  <c r="K34" i="9" s="1"/>
  <c r="F34" i="9" a="1"/>
  <c r="F34" i="9" s="1"/>
  <c r="E34" i="9" a="1"/>
  <c r="E34" i="9" s="1"/>
  <c r="D34" i="9" a="1"/>
  <c r="D34" i="9" s="1"/>
  <c r="C34" i="9" a="1"/>
  <c r="C34" i="9" s="1"/>
  <c r="M33" i="9" a="1"/>
  <c r="M33" i="9" s="1"/>
  <c r="K33" i="9" a="1"/>
  <c r="K33" i="9"/>
  <c r="F33" i="9" a="1"/>
  <c r="F33" i="9"/>
  <c r="E33" i="9" a="1"/>
  <c r="E33" i="9" s="1"/>
  <c r="D33" i="9" a="1"/>
  <c r="D33" i="9" s="1"/>
  <c r="C33" i="9" a="1"/>
  <c r="C33" i="9" s="1"/>
  <c r="M32" i="9" a="1"/>
  <c r="M32" i="9" s="1"/>
  <c r="K32" i="9" a="1"/>
  <c r="K32" i="9" s="1"/>
  <c r="F32" i="9" a="1"/>
  <c r="F32" i="9" s="1"/>
  <c r="E32" i="9" a="1"/>
  <c r="E32" i="9"/>
  <c r="D32" i="9" a="1"/>
  <c r="D32" i="9"/>
  <c r="C32" i="9" a="1"/>
  <c r="C32" i="9" s="1"/>
  <c r="M31" i="9" a="1"/>
  <c r="M31" i="9" s="1"/>
  <c r="K31" i="9" a="1"/>
  <c r="K31" i="9" s="1"/>
  <c r="F31" i="9" a="1"/>
  <c r="F31" i="9" s="1"/>
  <c r="E31" i="9" a="1"/>
  <c r="E31" i="9" s="1"/>
  <c r="D31" i="9" a="1"/>
  <c r="D31" i="9" s="1"/>
  <c r="C31" i="9" a="1"/>
  <c r="C31" i="9"/>
  <c r="M30" i="9" a="1"/>
  <c r="M30" i="9"/>
  <c r="K30" i="9" a="1"/>
  <c r="K30" i="9" s="1"/>
  <c r="F30" i="9" a="1"/>
  <c r="F30" i="9" s="1"/>
  <c r="E30" i="9" a="1"/>
  <c r="E30" i="9" s="1"/>
  <c r="D30" i="9" a="1"/>
  <c r="D30" i="9" s="1"/>
  <c r="C30" i="9" a="1"/>
  <c r="C30" i="9" s="1"/>
  <c r="C28" i="9"/>
  <c r="H16" i="9" a="1"/>
  <c r="H16" i="9"/>
  <c r="H13" i="9"/>
  <c r="C10" i="9"/>
  <c r="K6" i="9"/>
  <c r="G6" i="9"/>
  <c r="C6" i="9"/>
  <c r="M3" i="9"/>
  <c r="D205" i="8"/>
  <c r="C205" i="8"/>
  <c r="D204" i="8"/>
  <c r="C204" i="8"/>
  <c r="D203" i="8"/>
  <c r="C203" i="8"/>
  <c r="D202" i="8"/>
  <c r="C202" i="8"/>
  <c r="D201" i="8"/>
  <c r="C201" i="8"/>
  <c r="D200" i="8"/>
  <c r="C200" i="8" s="1"/>
  <c r="C41" i="8"/>
  <c r="M39" i="8" a="1"/>
  <c r="M39" i="8" s="1"/>
  <c r="K39" i="8" a="1"/>
  <c r="K39" i="8" s="1"/>
  <c r="F39" i="8" a="1"/>
  <c r="F39" i="8" s="1"/>
  <c r="E39" i="8" a="1"/>
  <c r="E39" i="8" s="1"/>
  <c r="D39" i="8" a="1"/>
  <c r="D39" i="8" s="1"/>
  <c r="C39" i="8" a="1"/>
  <c r="C39" i="8"/>
  <c r="M38" i="8" a="1"/>
  <c r="M38" i="8"/>
  <c r="K38" i="8" a="1"/>
  <c r="K38" i="8"/>
  <c r="F38" i="8" a="1"/>
  <c r="F38" i="8" s="1"/>
  <c r="E38" i="8" a="1"/>
  <c r="E38" i="8" s="1"/>
  <c r="D38" i="8" a="1"/>
  <c r="D38" i="8" s="1"/>
  <c r="C38" i="8" a="1"/>
  <c r="C38" i="8" s="1"/>
  <c r="M37" i="8" a="1"/>
  <c r="M37" i="8" s="1"/>
  <c r="K37" i="8" a="1"/>
  <c r="K37" i="8"/>
  <c r="F37" i="8" a="1"/>
  <c r="F37" i="8"/>
  <c r="E37" i="8" a="1"/>
  <c r="E37" i="8"/>
  <c r="D37" i="8" a="1"/>
  <c r="D37" i="8" s="1"/>
  <c r="C37" i="8" a="1"/>
  <c r="C37" i="8" s="1"/>
  <c r="M36" i="8" a="1"/>
  <c r="M36" i="8" s="1"/>
  <c r="K36" i="8" a="1"/>
  <c r="K36" i="8" s="1"/>
  <c r="F36" i="8" a="1"/>
  <c r="F36" i="8" s="1"/>
  <c r="E36" i="8" a="1"/>
  <c r="E36" i="8"/>
  <c r="D36" i="8" a="1"/>
  <c r="D36" i="8"/>
  <c r="C36" i="8" a="1"/>
  <c r="C36" i="8"/>
  <c r="M35" i="8" a="1"/>
  <c r="M35" i="8" s="1"/>
  <c r="K35" i="8" a="1"/>
  <c r="K35" i="8" s="1"/>
  <c r="F35" i="8" a="1"/>
  <c r="F35" i="8" s="1"/>
  <c r="E35" i="8" a="1"/>
  <c r="E35" i="8" s="1"/>
  <c r="D35" i="8" a="1"/>
  <c r="D35" i="8" s="1"/>
  <c r="C35" i="8" a="1"/>
  <c r="C35" i="8"/>
  <c r="M34" i="8" a="1"/>
  <c r="M34" i="8"/>
  <c r="K34" i="8" a="1"/>
  <c r="K34" i="8"/>
  <c r="F34" i="8" a="1"/>
  <c r="F34" i="8" s="1"/>
  <c r="E34" i="8" a="1"/>
  <c r="E34" i="8" s="1"/>
  <c r="D34" i="8" a="1"/>
  <c r="D34" i="8" s="1"/>
  <c r="C34" i="8" a="1"/>
  <c r="C34" i="8" s="1"/>
  <c r="M33" i="8" a="1"/>
  <c r="M33" i="8" s="1"/>
  <c r="K33" i="8" a="1"/>
  <c r="K33" i="8"/>
  <c r="F33" i="8" a="1"/>
  <c r="F33" i="8"/>
  <c r="E33" i="8" a="1"/>
  <c r="E33" i="8"/>
  <c r="D33" i="8" a="1"/>
  <c r="D33" i="8" s="1"/>
  <c r="C33" i="8" a="1"/>
  <c r="C33" i="8" s="1"/>
  <c r="M32" i="8" a="1"/>
  <c r="M32" i="8" s="1"/>
  <c r="K32" i="8" a="1"/>
  <c r="K32" i="8" s="1"/>
  <c r="F32" i="8" a="1"/>
  <c r="F32" i="8" s="1"/>
  <c r="E32" i="8" a="1"/>
  <c r="E32" i="8"/>
  <c r="D32" i="8" a="1"/>
  <c r="D32" i="8"/>
  <c r="C32" i="8" a="1"/>
  <c r="C32" i="8"/>
  <c r="M31" i="8" a="1"/>
  <c r="M31" i="8" s="1"/>
  <c r="K31" i="8" a="1"/>
  <c r="K31" i="8" s="1"/>
  <c r="F31" i="8" a="1"/>
  <c r="F31" i="8" s="1"/>
  <c r="E31" i="8" a="1"/>
  <c r="E31" i="8" s="1"/>
  <c r="D31" i="8" a="1"/>
  <c r="D31" i="8" s="1"/>
  <c r="C31" i="8" a="1"/>
  <c r="C31" i="8"/>
  <c r="M30" i="8" a="1"/>
  <c r="M30" i="8"/>
  <c r="K30" i="8" a="1"/>
  <c r="K30" i="8"/>
  <c r="F30" i="8" a="1"/>
  <c r="F30" i="8" s="1"/>
  <c r="E30" i="8" a="1"/>
  <c r="E30" i="8" s="1"/>
  <c r="D30" i="8" a="1"/>
  <c r="D30" i="8" s="1"/>
  <c r="C30" i="8" a="1"/>
  <c r="C30" i="8" s="1"/>
  <c r="C28" i="8"/>
  <c r="H16" i="8" a="1"/>
  <c r="H16" i="8" s="1"/>
  <c r="H13" i="8"/>
  <c r="C10" i="8"/>
  <c r="K6" i="8"/>
  <c r="G6" i="8"/>
  <c r="C6" i="8"/>
  <c r="M3" i="8"/>
  <c r="D205" i="7"/>
  <c r="C205" i="7"/>
  <c r="D204" i="7"/>
  <c r="C204" i="7"/>
  <c r="D203" i="7"/>
  <c r="C203" i="7"/>
  <c r="D202" i="7"/>
  <c r="C202" i="7"/>
  <c r="D201" i="7"/>
  <c r="C201" i="7" s="1"/>
  <c r="D200" i="7"/>
  <c r="C200" i="7"/>
  <c r="C41" i="7"/>
  <c r="M39" i="7" a="1"/>
  <c r="M39" i="7"/>
  <c r="K39" i="7" a="1"/>
  <c r="K39" i="7" s="1"/>
  <c r="F39" i="7" a="1"/>
  <c r="F39" i="7" s="1"/>
  <c r="E39" i="7" a="1"/>
  <c r="E39" i="7" s="1"/>
  <c r="D39" i="7" a="1"/>
  <c r="D39" i="7" s="1"/>
  <c r="C39" i="7" a="1"/>
  <c r="C39" i="7"/>
  <c r="M38" i="7" a="1"/>
  <c r="M38" i="7"/>
  <c r="K38" i="7" a="1"/>
  <c r="K38" i="7"/>
  <c r="F38" i="7" a="1"/>
  <c r="F38" i="7"/>
  <c r="E38" i="7" a="1"/>
  <c r="E38" i="7" s="1"/>
  <c r="D38" i="7" a="1"/>
  <c r="D38" i="7" s="1"/>
  <c r="C38" i="7" a="1"/>
  <c r="C38" i="7" s="1"/>
  <c r="M37" i="7" a="1"/>
  <c r="M37" i="7" s="1"/>
  <c r="K37" i="7" a="1"/>
  <c r="K37" i="7"/>
  <c r="F37" i="7" a="1"/>
  <c r="F37" i="7"/>
  <c r="E37" i="7" a="1"/>
  <c r="E37" i="7"/>
  <c r="D37" i="7" a="1"/>
  <c r="D37" i="7"/>
  <c r="C37" i="7" a="1"/>
  <c r="C37" i="7" s="1"/>
  <c r="M36" i="7" a="1"/>
  <c r="M36" i="7" s="1"/>
  <c r="K36" i="7" a="1"/>
  <c r="K36" i="7" s="1"/>
  <c r="F36" i="7" a="1"/>
  <c r="F36" i="7" s="1"/>
  <c r="E36" i="7" a="1"/>
  <c r="E36" i="7"/>
  <c r="D36" i="7" a="1"/>
  <c r="D36" i="7"/>
  <c r="C36" i="7" a="1"/>
  <c r="C36" i="7"/>
  <c r="M35" i="7" a="1"/>
  <c r="M35" i="7"/>
  <c r="K35" i="7" a="1"/>
  <c r="K35" i="7" s="1"/>
  <c r="F35" i="7" a="1"/>
  <c r="F35" i="7" s="1"/>
  <c r="E35" i="7" a="1"/>
  <c r="E35" i="7" s="1"/>
  <c r="D35" i="7" a="1"/>
  <c r="D35" i="7" s="1"/>
  <c r="C35" i="7" a="1"/>
  <c r="C35" i="7"/>
  <c r="M34" i="7" a="1"/>
  <c r="M34" i="7"/>
  <c r="K34" i="7" a="1"/>
  <c r="K34" i="7"/>
  <c r="F34" i="7" a="1"/>
  <c r="F34" i="7"/>
  <c r="E34" i="7" a="1"/>
  <c r="E34" i="7" s="1"/>
  <c r="D34" i="7" a="1"/>
  <c r="D34" i="7" s="1"/>
  <c r="C34" i="7" a="1"/>
  <c r="C34" i="7" s="1"/>
  <c r="M33" i="7" a="1"/>
  <c r="M33" i="7" s="1"/>
  <c r="K33" i="7" a="1"/>
  <c r="K33" i="7"/>
  <c r="F33" i="7" a="1"/>
  <c r="F33" i="7"/>
  <c r="E33" i="7" a="1"/>
  <c r="E33" i="7"/>
  <c r="D33" i="7" a="1"/>
  <c r="D33" i="7"/>
  <c r="C33" i="7" a="1"/>
  <c r="C33" i="7" s="1"/>
  <c r="M32" i="7" a="1"/>
  <c r="M32" i="7" s="1"/>
  <c r="K32" i="7" a="1"/>
  <c r="K32" i="7" s="1"/>
  <c r="F32" i="7" a="1"/>
  <c r="F32" i="7" s="1"/>
  <c r="E32" i="7" a="1"/>
  <c r="E32" i="7"/>
  <c r="D32" i="7" a="1"/>
  <c r="D32" i="7"/>
  <c r="C32" i="7" a="1"/>
  <c r="C32" i="7"/>
  <c r="M31" i="7" a="1"/>
  <c r="M31" i="7"/>
  <c r="K31" i="7" a="1"/>
  <c r="K31" i="7" s="1"/>
  <c r="F31" i="7" a="1"/>
  <c r="F31" i="7" s="1"/>
  <c r="E31" i="7" a="1"/>
  <c r="E31" i="7" s="1"/>
  <c r="D31" i="7" a="1"/>
  <c r="D31" i="7" s="1"/>
  <c r="C31" i="7" a="1"/>
  <c r="C31" i="7"/>
  <c r="M30" i="7" a="1"/>
  <c r="M30" i="7"/>
  <c r="K30" i="7" a="1"/>
  <c r="K30" i="7"/>
  <c r="F30" i="7" a="1"/>
  <c r="F30" i="7"/>
  <c r="E30" i="7" a="1"/>
  <c r="E30" i="7" s="1"/>
  <c r="D30" i="7" a="1"/>
  <c r="D30" i="7" s="1"/>
  <c r="C30" i="7" a="1"/>
  <c r="C30" i="7" s="1"/>
  <c r="C28" i="7"/>
  <c r="H16" i="7" a="1"/>
  <c r="H16" i="7" s="1"/>
  <c r="H13" i="7"/>
  <c r="C10" i="7"/>
  <c r="K6" i="7"/>
  <c r="G6" i="7"/>
  <c r="C6" i="7"/>
  <c r="M3" i="7"/>
  <c r="D205" i="6"/>
  <c r="C205" i="6" s="1"/>
  <c r="D204" i="6"/>
  <c r="C204" i="6"/>
  <c r="D203" i="6"/>
  <c r="C203" i="6"/>
  <c r="D202" i="6"/>
  <c r="C202" i="6"/>
  <c r="D201" i="6"/>
  <c r="C201" i="6" s="1"/>
  <c r="D200" i="6"/>
  <c r="C200" i="6" s="1"/>
  <c r="C41" i="6"/>
  <c r="M39" i="6" a="1"/>
  <c r="M39" i="6"/>
  <c r="K39" i="6" a="1"/>
  <c r="K39" i="6"/>
  <c r="F39" i="6" a="1"/>
  <c r="F39" i="6" s="1"/>
  <c r="E39" i="6" a="1"/>
  <c r="E39" i="6" s="1"/>
  <c r="D39" i="6" a="1"/>
  <c r="D39" i="6" s="1"/>
  <c r="C39" i="6" a="1"/>
  <c r="C39" i="6"/>
  <c r="M38" i="6" a="1"/>
  <c r="M38" i="6"/>
  <c r="K38" i="6" a="1"/>
  <c r="K38" i="6"/>
  <c r="F38" i="6" a="1"/>
  <c r="F38" i="6"/>
  <c r="E38" i="6" a="1"/>
  <c r="E38" i="6"/>
  <c r="D38" i="6" a="1"/>
  <c r="D38" i="6" s="1"/>
  <c r="C38" i="6" a="1"/>
  <c r="C38" i="6" s="1"/>
  <c r="M37" i="6" a="1"/>
  <c r="M37" i="6" s="1"/>
  <c r="K37" i="6" a="1"/>
  <c r="K37" i="6"/>
  <c r="F37" i="6" a="1"/>
  <c r="F37" i="6"/>
  <c r="E37" i="6" a="1"/>
  <c r="E37" i="6"/>
  <c r="D37" i="6" a="1"/>
  <c r="D37" i="6"/>
  <c r="C37" i="6" a="1"/>
  <c r="C37" i="6"/>
  <c r="M36" i="6" a="1"/>
  <c r="M36" i="6" s="1"/>
  <c r="K36" i="6" a="1"/>
  <c r="K36" i="6" s="1"/>
  <c r="F36" i="6" a="1"/>
  <c r="F36" i="6" s="1"/>
  <c r="E36" i="6" a="1"/>
  <c r="E36" i="6"/>
  <c r="D36" i="6" a="1"/>
  <c r="D36" i="6"/>
  <c r="C36" i="6" a="1"/>
  <c r="C36" i="6"/>
  <c r="M35" i="6" a="1"/>
  <c r="M35" i="6"/>
  <c r="K35" i="6" a="1"/>
  <c r="K35" i="6"/>
  <c r="F35" i="6" a="1"/>
  <c r="F35" i="6" s="1"/>
  <c r="E35" i="6" a="1"/>
  <c r="E35" i="6" s="1"/>
  <c r="D35" i="6" a="1"/>
  <c r="D35" i="6" s="1"/>
  <c r="C35" i="6" a="1"/>
  <c r="C35" i="6"/>
  <c r="M34" i="6" a="1"/>
  <c r="M34" i="6"/>
  <c r="K34" i="6" a="1"/>
  <c r="K34" i="6"/>
  <c r="F34" i="6" a="1"/>
  <c r="F34" i="6"/>
  <c r="E34" i="6" a="1"/>
  <c r="E34" i="6"/>
  <c r="D34" i="6" a="1"/>
  <c r="D34" i="6" s="1"/>
  <c r="C34" i="6" a="1"/>
  <c r="C34" i="6" s="1"/>
  <c r="M33" i="6" a="1"/>
  <c r="M33" i="6" s="1"/>
  <c r="K33" i="6" a="1"/>
  <c r="K33" i="6"/>
  <c r="F33" i="6" a="1"/>
  <c r="F33" i="6"/>
  <c r="E33" i="6" a="1"/>
  <c r="E33" i="6"/>
  <c r="D33" i="6" a="1"/>
  <c r="D33" i="6"/>
  <c r="C33" i="6" a="1"/>
  <c r="C33" i="6"/>
  <c r="M32" i="6" a="1"/>
  <c r="M32" i="6" s="1"/>
  <c r="K32" i="6" a="1"/>
  <c r="K32" i="6" s="1"/>
  <c r="F32" i="6" a="1"/>
  <c r="F32" i="6" s="1"/>
  <c r="E32" i="6" a="1"/>
  <c r="E32" i="6"/>
  <c r="D32" i="6" a="1"/>
  <c r="D32" i="6"/>
  <c r="C32" i="6" a="1"/>
  <c r="C32" i="6"/>
  <c r="M31" i="6" a="1"/>
  <c r="M31" i="6"/>
  <c r="K31" i="6" a="1"/>
  <c r="K31" i="6"/>
  <c r="F31" i="6" a="1"/>
  <c r="F31" i="6" s="1"/>
  <c r="E31" i="6" a="1"/>
  <c r="E31" i="6" s="1"/>
  <c r="D31" i="6" a="1"/>
  <c r="D31" i="6" s="1"/>
  <c r="C31" i="6" a="1"/>
  <c r="C31" i="6"/>
  <c r="M30" i="6" a="1"/>
  <c r="M30" i="6"/>
  <c r="K30" i="6" a="1"/>
  <c r="K30" i="6"/>
  <c r="F30" i="6" a="1"/>
  <c r="F30" i="6"/>
  <c r="E30" i="6" a="1"/>
  <c r="E30" i="6"/>
  <c r="D30" i="6" a="1"/>
  <c r="D30" i="6" s="1"/>
  <c r="C30" i="6" a="1"/>
  <c r="C30" i="6" s="1"/>
  <c r="C28" i="6"/>
  <c r="H16" i="6" a="1"/>
  <c r="H16" i="6" s="1"/>
  <c r="H13" i="6"/>
  <c r="C10" i="6"/>
  <c r="K6" i="6"/>
  <c r="G6" i="6"/>
  <c r="C6" i="6"/>
  <c r="M3" i="6"/>
  <c r="D205" i="5"/>
  <c r="C205" i="5"/>
  <c r="D204" i="5"/>
  <c r="C204" i="5" s="1"/>
  <c r="D203" i="5"/>
  <c r="C203" i="5"/>
  <c r="D202" i="5"/>
  <c r="C202" i="5"/>
  <c r="D201" i="5"/>
  <c r="C201" i="5" s="1"/>
  <c r="D200" i="5"/>
  <c r="C200" i="5" s="1"/>
  <c r="C41" i="5"/>
  <c r="M39" i="5" a="1"/>
  <c r="M39" i="5"/>
  <c r="K39" i="5" a="1"/>
  <c r="K39" i="5"/>
  <c r="F39" i="5" a="1"/>
  <c r="F39" i="5"/>
  <c r="E39" i="5" a="1"/>
  <c r="E39" i="5" s="1"/>
  <c r="D39" i="5" a="1"/>
  <c r="D39" i="5" s="1"/>
  <c r="C39" i="5" a="1"/>
  <c r="C39" i="5"/>
  <c r="M38" i="5" a="1"/>
  <c r="M38" i="5"/>
  <c r="K38" i="5" a="1"/>
  <c r="K38" i="5"/>
  <c r="F38" i="5" a="1"/>
  <c r="F38" i="5"/>
  <c r="E38" i="5" a="1"/>
  <c r="E38" i="5"/>
  <c r="D38" i="5" a="1"/>
  <c r="D38" i="5"/>
  <c r="C38" i="5" a="1"/>
  <c r="C38" i="5" s="1"/>
  <c r="M37" i="5" a="1"/>
  <c r="M37" i="5" s="1"/>
  <c r="K37" i="5" a="1"/>
  <c r="K37" i="5"/>
  <c r="F37" i="5" a="1"/>
  <c r="F37" i="5"/>
  <c r="E37" i="5" a="1"/>
  <c r="E37" i="5"/>
  <c r="D37" i="5" a="1"/>
  <c r="D37" i="5"/>
  <c r="C37" i="5" a="1"/>
  <c r="C37" i="5"/>
  <c r="M36" i="5" a="1"/>
  <c r="M36" i="5"/>
  <c r="K36" i="5" a="1"/>
  <c r="K36" i="5" s="1"/>
  <c r="F36" i="5" a="1"/>
  <c r="F36" i="5" s="1"/>
  <c r="E36" i="5" a="1"/>
  <c r="E36" i="5"/>
  <c r="D36" i="5" a="1"/>
  <c r="D36" i="5"/>
  <c r="C36" i="5" a="1"/>
  <c r="C36" i="5"/>
  <c r="M35" i="5" a="1"/>
  <c r="M35" i="5"/>
  <c r="K35" i="5" a="1"/>
  <c r="K35" i="5"/>
  <c r="F35" i="5" a="1"/>
  <c r="F35" i="5"/>
  <c r="E35" i="5" a="1"/>
  <c r="E35" i="5" s="1"/>
  <c r="D35" i="5" a="1"/>
  <c r="D35" i="5" s="1"/>
  <c r="C35" i="5" a="1"/>
  <c r="C35" i="5"/>
  <c r="M34" i="5" a="1"/>
  <c r="M34" i="5"/>
  <c r="K34" i="5" a="1"/>
  <c r="K34" i="5"/>
  <c r="F34" i="5" a="1"/>
  <c r="F34" i="5"/>
  <c r="E34" i="5" a="1"/>
  <c r="E34" i="5"/>
  <c r="D34" i="5" a="1"/>
  <c r="D34" i="5"/>
  <c r="C34" i="5" a="1"/>
  <c r="C34" i="5" s="1"/>
  <c r="M33" i="5" a="1"/>
  <c r="M33" i="5" s="1"/>
  <c r="K33" i="5" a="1"/>
  <c r="K33" i="5"/>
  <c r="F33" i="5" a="1"/>
  <c r="F33" i="5"/>
  <c r="E33" i="5" a="1"/>
  <c r="E33" i="5"/>
  <c r="D33" i="5" a="1"/>
  <c r="D33" i="5"/>
  <c r="C33" i="5" a="1"/>
  <c r="C33" i="5"/>
  <c r="M32" i="5" a="1"/>
  <c r="M32" i="5"/>
  <c r="K32" i="5" a="1"/>
  <c r="K32" i="5" s="1"/>
  <c r="F32" i="5" a="1"/>
  <c r="F32" i="5" s="1"/>
  <c r="E32" i="5" a="1"/>
  <c r="E32" i="5"/>
  <c r="D32" i="5" a="1"/>
  <c r="D32" i="5"/>
  <c r="C32" i="5" a="1"/>
  <c r="C32" i="5"/>
  <c r="M31" i="5" a="1"/>
  <c r="M31" i="5"/>
  <c r="K31" i="5" a="1"/>
  <c r="K31" i="5"/>
  <c r="F31" i="5" a="1"/>
  <c r="F31" i="5"/>
  <c r="E31" i="5" a="1"/>
  <c r="E31" i="5" s="1"/>
  <c r="D31" i="5" a="1"/>
  <c r="D31" i="5" s="1"/>
  <c r="C31" i="5" a="1"/>
  <c r="C31" i="5"/>
  <c r="M30" i="5" a="1"/>
  <c r="M30" i="5"/>
  <c r="K30" i="5" a="1"/>
  <c r="K30" i="5"/>
  <c r="F30" i="5" a="1"/>
  <c r="F30" i="5"/>
  <c r="E30" i="5" a="1"/>
  <c r="E30" i="5"/>
  <c r="D30" i="5" a="1"/>
  <c r="D30" i="5"/>
  <c r="C30" i="5" a="1"/>
  <c r="C30" i="5" s="1"/>
  <c r="C28" i="5"/>
  <c r="H16" i="5" a="1"/>
  <c r="H16" i="5" s="1"/>
  <c r="H13" i="5"/>
  <c r="C10" i="5"/>
  <c r="K6" i="5"/>
  <c r="G6" i="5"/>
  <c r="C6" i="5"/>
  <c r="M3" i="5"/>
  <c r="A33" i="2"/>
  <c r="B30" i="2"/>
  <c r="F28" i="2"/>
  <c r="D28" i="2"/>
  <c r="B28" i="2"/>
  <c r="I23" i="2"/>
  <c r="B23" i="2"/>
  <c r="M21" i="2"/>
  <c r="K21" i="2"/>
  <c r="I21" i="2"/>
  <c r="F21" i="2"/>
  <c r="D21" i="2"/>
  <c r="B21" i="2"/>
  <c r="I16" i="2"/>
  <c r="B16" i="2"/>
  <c r="M14" i="2"/>
  <c r="K14" i="2"/>
  <c r="I14" i="2"/>
  <c r="F14" i="2"/>
  <c r="D14" i="2"/>
  <c r="B14" i="2"/>
  <c r="I9" i="2"/>
  <c r="B9" i="2"/>
  <c r="M7" i="2"/>
  <c r="K7" i="2"/>
  <c r="I7" i="2"/>
  <c r="F7" i="2"/>
  <c r="D7" i="2"/>
  <c r="B7" i="2"/>
  <c r="A2" i="2"/>
</calcChain>
</file>

<file path=xl/sharedStrings.xml><?xml version="1.0" encoding="utf-8"?>
<sst xmlns="http://schemas.openxmlformats.org/spreadsheetml/2006/main" count="1949" uniqueCount="581">
  <si>
    <t xml:space="preserve">  ⚙️ PAINEL DE CONTROLE</t>
  </si>
  <si>
    <t>Data de referência (HOJE)</t>
  </si>
  <si>
    <t xml:space="preserve">  Como funciona:
1. Clique na célula da data acima e escolha o dia na lista suspensa.
2. Adicione novas linhas no final da aba "Log Diário" com a data correspondente.
3. Os dashboards de cada inspetor se atualizam automaticamente.
✅ Nunca é preciso criar novas colunas — basta acrescentar linhas no Log.
📌 Novas datas aparecem automaticamente na lista ao serem adicionadas no Log.</t>
  </si>
  <si>
    <t xml:space="preserve">  📋  PAINEL GERAL — INSPEÇÃO DE QUALIDADE</t>
  </si>
  <si>
    <t xml:space="preserve">  👤 Rogério Matos</t>
  </si>
  <si>
    <t xml:space="preserve">  👤 Marcos Antonio</t>
  </si>
  <si>
    <t>Elétrica</t>
  </si>
  <si>
    <t>Preservação</t>
  </si>
  <si>
    <t>ATIVIDADES HOJE</t>
  </si>
  <si>
    <t>⚠️ PENDÊNCIAS</t>
  </si>
  <si>
    <t>✅ OK</t>
  </si>
  <si>
    <t xml:space="preserve">  👤 Rafael Vieira</t>
  </si>
  <si>
    <t xml:space="preserve">  👤 Edigar Barreto</t>
  </si>
  <si>
    <t>Eletromecânica</t>
  </si>
  <si>
    <t>Solda/LP/Eletromec.</t>
  </si>
  <si>
    <t xml:space="preserve">  👤 Charles Johnson</t>
  </si>
  <si>
    <t xml:space="preserve">  👤 Daniel Henrique</t>
  </si>
  <si>
    <t>Recebimento</t>
  </si>
  <si>
    <t xml:space="preserve">  👤 Renan</t>
  </si>
  <si>
    <t>INSPETOR</t>
  </si>
  <si>
    <t>DISC.</t>
  </si>
  <si>
    <t>ÁREA</t>
  </si>
  <si>
    <t>SUPERVISOR</t>
  </si>
  <si>
    <t>ATIVIDADE</t>
  </si>
  <si>
    <t>STATUS</t>
  </si>
  <si>
    <t>⚠️</t>
  </si>
  <si>
    <t>Edigar Barreto</t>
  </si>
  <si>
    <t>ADM</t>
  </si>
  <si>
    <t>CWA-13/14 / Platô 9A</t>
  </si>
  <si>
    <t>N/A</t>
  </si>
  <si>
    <t>Levantamento e baixa de pendências no ControlStru</t>
  </si>
  <si>
    <t>Rafael Vieira</t>
  </si>
  <si>
    <t>MEC</t>
  </si>
  <si>
    <t>CWA-14 / Prédio Sul (CF-09 e CF-11)</t>
  </si>
  <si>
    <t>Raimundo</t>
  </si>
  <si>
    <t>Conferência de torque — Coluna de Flotação 09 e 11</t>
  </si>
  <si>
    <t>Inspecionado</t>
  </si>
  <si>
    <t>Daniel Henrique</t>
  </si>
  <si>
    <t>SOLDA</t>
  </si>
  <si>
    <t>Platô 2A</t>
  </si>
  <si>
    <t>Gilberto</t>
  </si>
  <si>
    <t>Ajuste da junta horizontal da virola 02 com 03 da caixa CX-01</t>
  </si>
  <si>
    <t>Em andamento</t>
  </si>
  <si>
    <t>Ajuste da junta horizontal da virola 01 com virola 02 da caixa CX-02</t>
  </si>
  <si>
    <t>Inspecionado OK</t>
  </si>
  <si>
    <t>Montagem da virola 03 da caixa CX-02</t>
  </si>
  <si>
    <t>Ajuste das juntas verticais da calha CX-01 — em fase de soldagem</t>
  </si>
  <si>
    <t>Ajuste das juntas verticais da calha da caixa CX-02</t>
  </si>
  <si>
    <t>TUB</t>
  </si>
  <si>
    <t>Montagem da tubulação de spray da calha da coluna de Flotação FC-20</t>
  </si>
  <si>
    <t>Pré-montagem da tubulação de alimentação da Coluna de Flotação FC-17 e FC-18</t>
  </si>
  <si>
    <t>Montagem e torque nos parafusos do distribuidor na Coluna de Flotação FC-20</t>
  </si>
  <si>
    <t>Rogério Matos</t>
  </si>
  <si>
    <t>ELE</t>
  </si>
  <si>
    <t>Renato</t>
  </si>
  <si>
    <t>Montagem infraestrutura iluminação CWA-13/14</t>
  </si>
  <si>
    <t>Fabricação (suportes leito de cabos, eletrodutos e leito de cabos)</t>
  </si>
  <si>
    <t>CWA-20 / Platô 11</t>
  </si>
  <si>
    <t>Montagem suportes leito de cabos</t>
  </si>
  <si>
    <t>Marcos Antonio</t>
  </si>
  <si>
    <t>MAT</t>
  </si>
  <si>
    <t>Platô 16</t>
  </si>
  <si>
    <t>Arlem</t>
  </si>
  <si>
    <t>Recebimento de parafusos</t>
  </si>
  <si>
    <t>Encerrado</t>
  </si>
  <si>
    <t>Platô 9A</t>
  </si>
  <si>
    <t>Leonildo</t>
  </si>
  <si>
    <t>Preservação — Colunas de Flotação</t>
  </si>
  <si>
    <t>Total de atividades: 15   |   Data: 30/06/2026</t>
  </si>
  <si>
    <t>DATA</t>
  </si>
  <si>
    <t>UNID.</t>
  </si>
  <si>
    <t>QTD</t>
  </si>
  <si>
    <t>ALERTA</t>
  </si>
  <si>
    <t>OBSERVAÇÃO</t>
  </si>
  <si>
    <t>CWA-13/14</t>
  </si>
  <si>
    <t>Renato Santos/GLENISON</t>
  </si>
  <si>
    <t>Montagem infraestrutura de iluminação</t>
  </si>
  <si>
    <t>-</t>
  </si>
  <si>
    <t>Atividade reportada em 15/06/2026 — Relatório diário de montagem</t>
  </si>
  <si>
    <t>GLENISON</t>
  </si>
  <si>
    <t>Fabricação (suportes de leito de cabos, eletrodutos e leito de cabos)</t>
  </si>
  <si>
    <t>CWA-017</t>
  </si>
  <si>
    <t>Renato Santos</t>
  </si>
  <si>
    <t>Montagem infraestrutura (suportes, leito de cabos) — porão de cabos</t>
  </si>
  <si>
    <t>CWA-14</t>
  </si>
  <si>
    <t>Acompanhamento de montagem e aperto dos parafusos da Coluna de Flotação 01 e 02</t>
  </si>
  <si>
    <t>Acompanhamento</t>
  </si>
  <si>
    <t>CWA-13</t>
  </si>
  <si>
    <t>Rosino/Oliveira Neto</t>
  </si>
  <si>
    <t>Acompanhamento de Montagem e ajustes de suportes de tubulação</t>
  </si>
  <si>
    <t>t</t>
  </si>
  <si>
    <t>0.84</t>
  </si>
  <si>
    <t>CWA-11</t>
  </si>
  <si>
    <t>Raimundo Pantoja</t>
  </si>
  <si>
    <t>Acompanhamento de montagem e ajuste TQ-01</t>
  </si>
  <si>
    <t>Prédio Norte</t>
  </si>
  <si>
    <t>Acompanhamento de soldagem de chapas de piso EL.789.706</t>
  </si>
  <si>
    <t>Emissão de relatórios</t>
  </si>
  <si>
    <t>Acabamento das soldas verticais da virola 02 CX-02</t>
  </si>
  <si>
    <t>Soldagem das verticais da virola 03 CX-02</t>
  </si>
  <si>
    <t>Início da soldagem das juntas de emenda da chapa de fundo CX-02</t>
  </si>
  <si>
    <t>Charles Johnson</t>
  </si>
  <si>
    <t>Recebimento de materiais, pré moldados.</t>
  </si>
  <si>
    <t>Atividade reportada em 15/06/2026 — Relatório diário</t>
  </si>
  <si>
    <t>Continuação - Montagem e ajustes de suportes de tubulação</t>
  </si>
  <si>
    <t>Continuação montagem de leito CWA-13/14</t>
  </si>
  <si>
    <t>m</t>
  </si>
  <si>
    <t>Renan</t>
  </si>
  <si>
    <t>CWA-20</t>
  </si>
  <si>
    <t>Thiago</t>
  </si>
  <si>
    <t>Montagem telhado</t>
  </si>
  <si>
    <t>Atividade reportada em 16/06/2026 — Relatório diário</t>
  </si>
  <si>
    <t>Montagem escada</t>
  </si>
  <si>
    <t>Montagem plataforma</t>
  </si>
  <si>
    <t>Montagem infraestrutura iluminação</t>
  </si>
  <si>
    <t>CWA-17</t>
  </si>
  <si>
    <t>Montagem infraestrutura (suportes, leito de cabos) porão de cabos</t>
  </si>
  <si>
    <t>Acompanhamento de torque das Colunas de flotação 01, 02 e 03</t>
  </si>
  <si>
    <t>Acompanhamento de torque das vigas 857B e 1685A — última elevação</t>
  </si>
  <si>
    <t>Platô 13A</t>
  </si>
  <si>
    <t>Ensaio Visual e LP nas soldas das chapas das Bases da Casa dos Compressores. Iniciado pré-montagem das estruturas da plataforma de escada de acesso às caixas.</t>
  </si>
  <si>
    <t>Reprovado</t>
  </si>
  <si>
    <t>Reprovado — em fase de reparo dos defeitos apresentados no LP. Encaminhado fotos no grupo de fechamento de QTO para encerrar QTO-0043. Solicitado o cadastramento no Controlstru.</t>
  </si>
  <si>
    <t>LP</t>
  </si>
  <si>
    <t>Realização de EVS e LP em nervuras modificadas conforme CTE-74</t>
  </si>
  <si>
    <t>Arlen</t>
  </si>
  <si>
    <t>Recebimento: 20 spools em inox / Colunas de Flotação + elementos de ligação (parafusos)</t>
  </si>
  <si>
    <t>Finalizado</t>
  </si>
  <si>
    <t>Preservação — Amostrador 0415-AM-11</t>
  </si>
  <si>
    <t>Recebimento de materiais — 8 spools tubulação revestida</t>
  </si>
  <si>
    <t>Recebimento com observação: sem certificado. RM parcial ainda aberta.</t>
  </si>
  <si>
    <t>Platô 13</t>
  </si>
  <si>
    <t>Recebimento de conexões de tubulação</t>
  </si>
  <si>
    <t>Montagem estrutura plataforma</t>
  </si>
  <si>
    <t>Acompanhamento da preparação dos segmentos da calha da caixa CX-01 e CX-02 para montagem</t>
  </si>
  <si>
    <t>⚠️ ASSUNTO CHECK-IN: Emitido QTO para CX-01 devido a problema no bisel da chapa 210B. Progen deu disposição para retrabalhar o bisel.</t>
  </si>
  <si>
    <t>Acompanhamento do ajuste da junta horizontal JH-01 da caixa CX-01</t>
  </si>
  <si>
    <t>Não finalizado</t>
  </si>
  <si>
    <t>⚠️ ASSUNTO CHECK-IN: Verificar situação — status: Não finalizado</t>
  </si>
  <si>
    <t>Acompanhamento da soldagem das juntas JF-02 e JF-03</t>
  </si>
  <si>
    <t>Recebimento de consumíveis de solda</t>
  </si>
  <si>
    <t>Reprovado parcial</t>
  </si>
  <si>
    <t>⚠️ ASSUNTO CHECK-IN: Não foi apresentado certificado dos arames da Bohler.</t>
  </si>
  <si>
    <t>Recebimento tubulação e acessórios 8, 10, 12, 14, 16 e 18" (Documentação)</t>
  </si>
  <si>
    <t>Preservação — Amostrador 0415-AM-03 e 04 (Relatório/Etiquetas)</t>
  </si>
  <si>
    <t>Recebimento: elementos de fixação, conectores, caixas DER. AL. "T" e tipo "LR". Conferência dos lotes do grout em análise.</t>
  </si>
  <si>
    <t>CWA-16</t>
  </si>
  <si>
    <t>Acompanhamento de torque nos spools 004, 005, 007 e 008</t>
  </si>
  <si>
    <t>Montagem estrutura plataforma. Conferência de torque, mapeamento das juntas, fotografia e acompanhamento do fiscal Romeu.</t>
  </si>
  <si>
    <t>Ajuste de chapa de piso</t>
  </si>
  <si>
    <t>Fernando</t>
  </si>
  <si>
    <t>Calibração de máquinas de solda</t>
  </si>
  <si>
    <t>Elaboração de Relatórios FC-01, FC-02, FC-03 e FC-04</t>
  </si>
  <si>
    <t>Acompanhamento do enchimento do bisel não conforme da calha CX-01 conforme disposição QTO-057</t>
  </si>
  <si>
    <t>Ensaio de LP nas soldas verticais da virola 02 e 03 — caixa CX-02</t>
  </si>
  <si>
    <t>Aprovado</t>
  </si>
  <si>
    <t>Acompanhamento da soldagem da junta JH-01 da caixa CX-01</t>
  </si>
  <si>
    <t>Acompanhamento da pré-montagem das estruturas de acesso às caixas CX-01/02</t>
  </si>
  <si>
    <t>Conferência de torque</t>
  </si>
  <si>
    <t>Conferência das notas de elemento de fixação (elétrica)</t>
  </si>
  <si>
    <t>Recebido</t>
  </si>
  <si>
    <t>Recebimento parcial</t>
  </si>
  <si>
    <t>Levantamento de pendências de torque — Prédio Sul</t>
  </si>
  <si>
    <t>Montagem da chapa de fundo com virola 01 da caixa CX-02</t>
  </si>
  <si>
    <t>⚠️ POSSÍVEL ASSUNTO CHECK-IN: Montagem da chapa de fundo — acompanhar evolução</t>
  </si>
  <si>
    <t>Pátio KM-180</t>
  </si>
  <si>
    <t>Recebimento de pré moldados</t>
  </si>
  <si>
    <t>Estrutura metálica prédio flotação</t>
  </si>
  <si>
    <t>Ajuste e soldagem de chapa de piso — Prédio Norte e Sul / Platô 9A</t>
  </si>
  <si>
    <t>Platô 11</t>
  </si>
  <si>
    <t>Rosino</t>
  </si>
  <si>
    <t>Parada 0416-BP-05</t>
  </si>
  <si>
    <t>CWA-16 / Pipe rack</t>
  </si>
  <si>
    <t>Levantamento de pendências e baixa no ControlStru</t>
  </si>
  <si>
    <t>⚠️ POSSÍVEL ASSUNTO CHECK-IN: Falta lançar os projetos no ControlStru para poder dar baixa</t>
  </si>
  <si>
    <t>CWA-16 / 14"-PG-0415-091-X16</t>
  </si>
  <si>
    <t>Levantamento de pendências</t>
  </si>
  <si>
    <t>Recebimento: Bomba 0416-BP-05 e Redutor 0414-BP-05 (será montado na bomba 0416-BP-05)</t>
  </si>
  <si>
    <t>Vertimill</t>
  </si>
  <si>
    <t>Recebimento de carga de cimento</t>
  </si>
  <si>
    <t>Ensaio de LP nas soldas verticais da virola 01 da caixa CX-02</t>
  </si>
  <si>
    <t>Ajuste da solda horizontal da virola 02 com 03 da caixa CX-01</t>
  </si>
  <si>
    <t>Torque dos parafusos do distribuidor da coluna de flotação FC-19</t>
  </si>
  <si>
    <t>Preparação dos segmentos da calha das caixas CX-01 e CX-02</t>
  </si>
  <si>
    <t>CWA-13 / Prédio Norte</t>
  </si>
  <si>
    <t>CWA-56 / Remoagem</t>
  </si>
  <si>
    <t>Ajuste da junta horizontal da virola 01 com 02 da caixa CX-02</t>
  </si>
  <si>
    <t>⚠️ POSSÍVEL ASSUNTO CHECK-IN: Montagem de andaime</t>
  </si>
  <si>
    <t>Soldagem da caixa CX-01 (junta horizontal virola 01 x 02 — Nervuras)</t>
  </si>
  <si>
    <t>Aplicação do revestimento nos parafusos do distribuidor da coluna de flotação FC-19</t>
  </si>
  <si>
    <t>Pré-montagem das estruturas metálicas do Lanterninho do Prédio Norte</t>
  </si>
  <si>
    <t>Pré-montagem das estruturas de acesso às caixas CX-01/02</t>
  </si>
  <si>
    <t>Rafael</t>
  </si>
  <si>
    <t>Recebimento de tubulação e acessórios (Parada)</t>
  </si>
  <si>
    <t>Preservação — Amostradores 0415-AM-03 e 04 (relatório)</t>
  </si>
  <si>
    <t>Recebimento de bobina de cabos</t>
  </si>
  <si>
    <t>Em análise — falta certificado</t>
  </si>
  <si>
    <t>⚠️ POSSÍVEL ASSUNTO CHECK-IN: Falta certificado</t>
  </si>
  <si>
    <t>Recebimento de estrutura</t>
  </si>
  <si>
    <t>CWA-13 / Platô 9A</t>
  </si>
  <si>
    <t>Inspeção EVS e LP em nervuras modificadas referente à CTE-74</t>
  </si>
  <si>
    <t>CWA-56 / Platô 11</t>
  </si>
  <si>
    <t>Soldagem da caixa CX-01 (Nervuras)</t>
  </si>
  <si>
    <t>⚠️ POSSÍVEL ASSUNTO CHECK-IN: Emitido QTO para desalinhamento dos perfis</t>
  </si>
  <si>
    <t>Ajuste das juntas verticais da calha CX-01</t>
  </si>
  <si>
    <t>Pré-montagem estruturas metálicas do Lanterninho do Prédio Norte (corte D-D, des. 0616)</t>
  </si>
  <si>
    <t>Torqueamento dos parafusos das estruturas do Lanterninho Prédio Norte (corte C-C, des. 0612)</t>
  </si>
  <si>
    <t>Torqueamento dos parafusos das estruturas de acesso às caixas CX-01/02</t>
  </si>
  <si>
    <t>CWA-14 / Prédio Sul</t>
  </si>
  <si>
    <t>Pátio KM-188</t>
  </si>
  <si>
    <t>Recebimento da bandeja de gotejamento FC-15</t>
  </si>
  <si>
    <t>Recebimento da bandeja de gotejamento FC-20</t>
  </si>
  <si>
    <t>Acompanhamento de carga de canaletas (pré moldados)</t>
  </si>
  <si>
    <t>Recebimento de parafusos e elementos de ligação</t>
  </si>
  <si>
    <t>Preservação — tubulação e acessórios</t>
  </si>
  <si>
    <t>Montagem de chapas de piso</t>
  </si>
  <si>
    <t>⚠️ POSSÍVEL ASSUNTO CHECK-IN: Identificado abertura excessiva na emenda da calha — aguardando fiscalização para emissão de QTO</t>
  </si>
  <si>
    <t>Preparação dos segmentos da virola da calha da caixa CX-02</t>
  </si>
  <si>
    <t>Inspeção visual e ensaio de LP na solda horizontal JH-01 da caixa CX-01</t>
  </si>
  <si>
    <t>Montagem/Soldagem do Spool de sacrifício SP0414-00050-040 (VS e LP)</t>
  </si>
  <si>
    <t>Preservação — Colunas de Flotação 0415-FC-01 a FC-20</t>
  </si>
  <si>
    <t>Platô 14</t>
  </si>
  <si>
    <t>Recebimento de ferragem</t>
  </si>
  <si>
    <t>Recebimento de suportes</t>
  </si>
  <si>
    <t>Parada 0416-BP-05 (ligação do motor)</t>
  </si>
  <si>
    <t>Içamento e montagem telhado</t>
  </si>
  <si>
    <t>Montagem de chapas de piso + levantamento e baixa de pendências no ControlStru</t>
  </si>
  <si>
    <t>Conclusão do recebimento de suportes</t>
  </si>
  <si>
    <t>Conferência da carga de pré moldados</t>
  </si>
  <si>
    <t>Aprovado com observação</t>
  </si>
  <si>
    <t>⚠️ POSSÍVEL ASSUNTO CHECK-IN: Item com deslocamento de furacão</t>
  </si>
  <si>
    <t>CWA-13/14 / Prédio Norte</t>
  </si>
  <si>
    <t>⚠️ POSSÍVEL ASSUNTO CHECK-IN: Emitido QTO devido a abertura excessiva</t>
  </si>
  <si>
    <t>Pré-montagem estruturas metálicas do Lanterninho do Prédio Norte (corte E-E, des. 0616)</t>
  </si>
  <si>
    <t>Torqueamento dos parafusos da estrutura do Lanterninho (corte D-D)</t>
  </si>
  <si>
    <t>Luiz</t>
  </si>
  <si>
    <t>Recebimento de torquímetros</t>
  </si>
  <si>
    <t>Acompanhamento de carregamento das peças das caixas 03 e 04</t>
  </si>
  <si>
    <t>⚠️ POSSÍVEL ASSUNTO CHECK-IN: Pontos de observação e dano na pintura</t>
  </si>
  <si>
    <t xml:space="preserve">  REFERÊNCIA DE CWAs — PROJETO RECLEANER</t>
  </si>
  <si>
    <t xml:space="preserve">  Total: 63 CWAs cadastradas</t>
  </si>
  <si>
    <t>ID</t>
  </si>
  <si>
    <t>DESCRITIVO</t>
  </si>
  <si>
    <t>Nº CWA</t>
  </si>
  <si>
    <t>DESCRIÇÃO DO CWA</t>
  </si>
  <si>
    <t>ESCOPO</t>
  </si>
  <si>
    <t>00</t>
  </si>
  <si>
    <t>GERAL</t>
  </si>
  <si>
    <t>AMR-1006916-000-00</t>
  </si>
  <si>
    <t>Geral</t>
  </si>
  <si>
    <t>Escopo Original e Novo Escopo</t>
  </si>
  <si>
    <t>01</t>
  </si>
  <si>
    <t>TANQUE DE POLPA</t>
  </si>
  <si>
    <t>AMR-1006916-001-01</t>
  </si>
  <si>
    <t>Bombas / Agitadores / Tanques - 0414-BP-07/08/09/10/11; 0414 AG-02; 0414 TQ-02; 0416-BP-07/08/09/10/11; 0416 AG-02; 0416 TQ-02</t>
  </si>
  <si>
    <t>Novo escopo</t>
  </si>
  <si>
    <t>02</t>
  </si>
  <si>
    <t>PIPE RACK TANQUE DE POLPA - TRECHO 6</t>
  </si>
  <si>
    <t>AMR-1006916-002-02</t>
  </si>
  <si>
    <t>Pipe rack entre os tanques de polpa 0414/0416-TQ-02 e os prédios remoagem e moagem secundária - Trecho 6</t>
  </si>
  <si>
    <t>03</t>
  </si>
  <si>
    <t>SUBESTAÇÃO DA CONCENTRAÇAO 0764-SE-0I - EXISTENTE</t>
  </si>
  <si>
    <t>AMR-1006916-003-03</t>
  </si>
  <si>
    <t>Reforço civil e instalação de novos equipamentos (10 painéis de inversores, 02 painéis de controle de automação)</t>
  </si>
  <si>
    <t>04</t>
  </si>
  <si>
    <t>REMOAGEM EXISTENTE</t>
  </si>
  <si>
    <t>AMR-1006916-004-04</t>
  </si>
  <si>
    <t>Esta CWA compreende a substituição 0414-HC-01/02/03/04/05 (cancelada)</t>
  </si>
  <si>
    <t>Cancelado</t>
  </si>
  <si>
    <t>05</t>
  </si>
  <si>
    <t>MOAGEM SECUNDÁRIA EXISTENTE</t>
  </si>
  <si>
    <t>AMR-1006916-005-05</t>
  </si>
  <si>
    <t>Esta CWA compreende a substituição 0416-HC-01/02/03/04/05 (cancelada)</t>
  </si>
  <si>
    <t>06</t>
  </si>
  <si>
    <t>SEGUNDA CLASSIFICAÇÃO - REMOAGEM</t>
  </si>
  <si>
    <t>AMR-1006916-006-06</t>
  </si>
  <si>
    <t>Hidrociclones e Talhas - 0416-HC-06/07/08/09/10 (instalação de novos HC) e 02 talhas</t>
  </si>
  <si>
    <t>07</t>
  </si>
  <si>
    <t>SEGUNDA CLASSIFICAÇÃO - MOAGEM SECUNDÁRIA</t>
  </si>
  <si>
    <t>AMR-1006916-007-07</t>
  </si>
  <si>
    <t>Hidrociclones e Talhas - 0416-0414-HC-01/02/03/04/05 (instalação de novos HC) e 02 talhas</t>
  </si>
  <si>
    <t>08</t>
  </si>
  <si>
    <t>SISTEMA DE AMOSTRAGEM CONCENTRADO</t>
  </si>
  <si>
    <t>AMR-1006916-008-08</t>
  </si>
  <si>
    <t>Amostradores - 0415-AM-05/06; Caixas 0414-CX-02 / 0416-CX-02</t>
  </si>
  <si>
    <t>09</t>
  </si>
  <si>
    <t>Caixas 0414 &amp; 0416-CX-01 e Tanques 0414 &amp; 0416-TQ-01</t>
  </si>
  <si>
    <t>AMR-1006916-009-09</t>
  </si>
  <si>
    <t>Caixas e bombas -  0414-CX-01; 0414-BP-06; 0416-CX-01; 0416-BP-06; Tanques e bombas 0414-TQ-01; 0414-BP-01@05; 0416-TQ-01; 0416-BP-01@05</t>
  </si>
  <si>
    <t>10</t>
  </si>
  <si>
    <t>PIRE RACK TRECHO 5</t>
  </si>
  <si>
    <t>AMR-1006916-010-10</t>
  </si>
  <si>
    <t>Pipe rack para alimentação dos tanques condicionadores (CWA 11) Trecho 5</t>
  </si>
  <si>
    <t>Escopo Original</t>
  </si>
  <si>
    <t>11</t>
  </si>
  <si>
    <t>TANQUES CONDICIONADORES</t>
  </si>
  <si>
    <t>AMR-1006916-001-11</t>
  </si>
  <si>
    <t>0415-TQ-01/02 com agitadores e amostradores, caixas 0415-CX-01/02, bombas 0415-BP-01/02</t>
  </si>
  <si>
    <t>12</t>
  </si>
  <si>
    <t>PIPE RACK TRECHO 1</t>
  </si>
  <si>
    <t>AMR-1006916-012-12</t>
  </si>
  <si>
    <t>Pipe rack trecho 1 (interligação entre os tanques condicionadores 0415-TQ01/02 e prédios da flotação Recleaner)</t>
  </si>
  <si>
    <t>13</t>
  </si>
  <si>
    <t>FLOTAÇÃO RECLEANER - PRÉDIO NORTE</t>
  </si>
  <si>
    <t>AMR-1006916-001-13</t>
  </si>
  <si>
    <t>Colunas de Flotação e distribuidores -  0415-FC-05/06/07/08/13/14/15/16/19/20; 0415-DP-02/04/06</t>
  </si>
  <si>
    <t>14</t>
  </si>
  <si>
    <t>FLOTAÇÃO RECLEANER - PRÉDIO SUL</t>
  </si>
  <si>
    <t>AMR-1006916-002-14</t>
  </si>
  <si>
    <t>Colunas de Flotação e distribuidores - 0415-FC-01/02/03/04/09/10/11/12/17/18; 0415-DP-01/03/05</t>
  </si>
  <si>
    <t>15</t>
  </si>
  <si>
    <t>CAIXAS DAS COLUNAS DE FLOTAÇÃO</t>
  </si>
  <si>
    <t>AMR-1006916-015-15</t>
  </si>
  <si>
    <t>Caixas e bombas 0415-CX-03/04/05/06/08/09/10; 0415-BP-03/04/05/06/08/09/10</t>
  </si>
  <si>
    <t>16</t>
  </si>
  <si>
    <t>PIPE RACk TRECHO 4 - LINHA DE REJEITO PARA BARRAGEM</t>
  </si>
  <si>
    <t>AMR-1006916-016-16</t>
  </si>
  <si>
    <t>Pipe rack trecho linha de rejeito para barragem - Trecho 4</t>
  </si>
  <si>
    <t>17</t>
  </si>
  <si>
    <t>AMOSTRAGEM DE REJEITO</t>
  </si>
  <si>
    <t>AMR-1006916-017-17</t>
  </si>
  <si>
    <t>Torre de Amostragem de Rejeito</t>
  </si>
  <si>
    <t>18</t>
  </si>
  <si>
    <t>DESCARGA DE REJEITO BARRAGEM - TUBULAÇÃO</t>
  </si>
  <si>
    <t>AMR-1006916-018-18</t>
  </si>
  <si>
    <t>Descarga de rejeito Barragem - Tubulação</t>
  </si>
  <si>
    <t>19</t>
  </si>
  <si>
    <t>DESCARGA DE REJEITO FILTRAGEM &amp; BYPASS (TUBULAÇÃO)</t>
  </si>
  <si>
    <t>AMR-1006916-019-19</t>
  </si>
  <si>
    <t>Descarga de rejeito filtragem e bypass (tubulação)</t>
  </si>
  <si>
    <t>20</t>
  </si>
  <si>
    <t>SUBESTAÇÃO DA FLOTAÇÃO RECLEANER 0783-SE-01</t>
  </si>
  <si>
    <t>AMR-1006916-020-20</t>
  </si>
  <si>
    <t>0783-SE-01 - Transformadores, quadros de distribuição, BCCM , MCCM, quadros de iluminação, painéis de automação e TI</t>
  </si>
  <si>
    <t>21</t>
  </si>
  <si>
    <t>SUBESTAÇÃO DOS REAGENTES - 0765-SE-01 - EXISTENTE</t>
  </si>
  <si>
    <t>AMR-1006916-021-21</t>
  </si>
  <si>
    <t>Instalação de novos Paineis/ CCM para alimentação dos novos agitadores e bombas de amido gelatinizados</t>
  </si>
  <si>
    <t>22</t>
  </si>
  <si>
    <t>SUBESTAÇÃO PRINCIPAL - 0776-SE-0I - EXISTENTE</t>
  </si>
  <si>
    <t>AMR-1006916-022-22</t>
  </si>
  <si>
    <t>Alimentação da nova Subestação 0783- SE-01 pelo cubículo QD03</t>
  </si>
  <si>
    <t>23</t>
  </si>
  <si>
    <t>CASA DE COMPRESSORES</t>
  </si>
  <si>
    <t>AMR-1006916-023-23</t>
  </si>
  <si>
    <t>Compressores e Vasos de pressão - 0415-CP-01/02/03/04/05/01R/06/07/08/08R; 0415-VA-01/02</t>
  </si>
  <si>
    <t>24</t>
  </si>
  <si>
    <t>TORRE DE RESFRIAMENTO</t>
  </si>
  <si>
    <t>AMR-1006916-024-24</t>
  </si>
  <si>
    <t>Torre de resfriamento e bombas - 0415-TO-01/02/03; 0415-BA-01/01R</t>
  </si>
  <si>
    <t>25</t>
  </si>
  <si>
    <t>ESCRITORIO DE APOIO</t>
  </si>
  <si>
    <t>AMR-1006916-025-25</t>
  </si>
  <si>
    <t>Escitório de apoio</t>
  </si>
  <si>
    <t>26</t>
  </si>
  <si>
    <t>PIPE RACK TRECHO 2 - ALIMENTAÇÃO DE UTILIDADES</t>
  </si>
  <si>
    <t>AMR-1006916-026-26</t>
  </si>
  <si>
    <t>Pipe rack trecho 2 - alimentação de utilidades</t>
  </si>
  <si>
    <t>27</t>
  </si>
  <si>
    <t>PIPE RACK TRECHO 3 - ALIMENTAÇÃO DE UTILIDADES</t>
  </si>
  <si>
    <t>AMR-1006916-027-27</t>
  </si>
  <si>
    <t>pipe rack trecho 3 - alimentação de utilidades</t>
  </si>
  <si>
    <t>28</t>
  </si>
  <si>
    <t>ESTACIONAMENTO</t>
  </si>
  <si>
    <t>AMR-1006916-028-28</t>
  </si>
  <si>
    <t>Estacionamento</t>
  </si>
  <si>
    <t>29</t>
  </si>
  <si>
    <t>DRENAGEM INDUSTRIAL E PLUVIAL</t>
  </si>
  <si>
    <t>AMR-1006916-029-29</t>
  </si>
  <si>
    <t>Drenagem industrial externa aos prédios e drenagem pluvial do platô</t>
  </si>
  <si>
    <t>30</t>
  </si>
  <si>
    <t>PAVIMENTAÇÃO</t>
  </si>
  <si>
    <t>AMR-1006916-030-30</t>
  </si>
  <si>
    <t>Pavimentação do platô recleaner, moagem e reomoagem (0414, 0416), tanques condicionadores</t>
  </si>
  <si>
    <t>31</t>
  </si>
  <si>
    <t>SUBESTAÇÃO DO ESPESSAMENTO - 0774-SE-01 - EXISTENTE</t>
  </si>
  <si>
    <t>AMR-1006916-031-31</t>
  </si>
  <si>
    <t>Substituição dos painéis de inversores das bombas de concentrado de flotação mecânica</t>
  </si>
  <si>
    <t>32</t>
  </si>
  <si>
    <t>TANQUE DE AMIDO GELATINIZADO 0718-TQ-17</t>
  </si>
  <si>
    <t>AMR-1006916-032-32</t>
  </si>
  <si>
    <t>Tanque de amido gelatinizado 0718-TQ-17 - 0718-AG-12- 0718-AG-12 - 0718-BA-26/26R e bacia/derenagem  interligação</t>
  </si>
  <si>
    <t>33</t>
  </si>
  <si>
    <t>PRÉDIO DOS REAGENTES - EXISTENTE</t>
  </si>
  <si>
    <t>AMR-1006916-033-33</t>
  </si>
  <si>
    <t>AMIDO - 0718-AG-02/03/04/05; AMIDO - 0718-BA-07/08/09/10/10R; AMIDO GELAT. - 0718-BA-11/12/13/14/14R/15/15R/26/26R; AMINA - 0718-BA-04/04R/25/25R; SODA - 0718-BA-21/21R</t>
  </si>
  <si>
    <t>34</t>
  </si>
  <si>
    <t>AMOSTRADOR COURIER</t>
  </si>
  <si>
    <t>AMR-1006916-034-34</t>
  </si>
  <si>
    <t>Amostrador courier</t>
  </si>
  <si>
    <t>35</t>
  </si>
  <si>
    <t>PIPE RACK REMOAGEM TRECHO 2 - EXISTENTE</t>
  </si>
  <si>
    <t>AMR-1006916-035-35</t>
  </si>
  <si>
    <t>Pipe rack remoagem trecho 2 - existente</t>
  </si>
  <si>
    <t>36</t>
  </si>
  <si>
    <t>PIPE RACK FLOTAÇÃO MECÂNICA - EXISTENTE</t>
  </si>
  <si>
    <t>AMR-1006916-036-36</t>
  </si>
  <si>
    <t>Pipe rack flotação mecânica - existente</t>
  </si>
  <si>
    <t>37</t>
  </si>
  <si>
    <t>Sala de controle e Datacenter de TA</t>
  </si>
  <si>
    <t>AMR-1006916-037-37</t>
  </si>
  <si>
    <t>38</t>
  </si>
  <si>
    <t>SEPARAÇÃO MAGNÉTICA RECLEANER</t>
  </si>
  <si>
    <t>AMR-1006916-038-38</t>
  </si>
  <si>
    <t>Separação magnética recleaner - 0415DP-07/08; 0415PN-01/02- 0415-SM01/02; 0415-CX11/12; 0415-BP-11/12</t>
  </si>
  <si>
    <t>39</t>
  </si>
  <si>
    <t>INTERCONECÇÕES TIE-INS (ÁGUA/PROCESSO/ETC)</t>
  </si>
  <si>
    <t>AMR-1006916-039-39</t>
  </si>
  <si>
    <t>Interconexões tie ins água processo</t>
  </si>
  <si>
    <t>40</t>
  </si>
  <si>
    <t>DISTRIBUIÇÃO DE REAGENTE (PIPE RACK)</t>
  </si>
  <si>
    <t>AMR-1006916-040-40</t>
  </si>
  <si>
    <t>Distribuição de reagente</t>
  </si>
  <si>
    <t>41</t>
  </si>
  <si>
    <t>SISTEMA DE ÁGUA POTÁVEL - DISTRIBUIÇÃO</t>
  </si>
  <si>
    <t>AMR-1006916-041-41</t>
  </si>
  <si>
    <t>Sistema de água potável - distribuição</t>
  </si>
  <si>
    <t>42</t>
  </si>
  <si>
    <t>SISTEMA DE ÁGUA</t>
  </si>
  <si>
    <t>AMR-1006916-042-42</t>
  </si>
  <si>
    <t>Sistema de água</t>
  </si>
  <si>
    <t>43</t>
  </si>
  <si>
    <t>CANTEIRO  AVANÇADO</t>
  </si>
  <si>
    <t>AMR-1006916-043-43</t>
  </si>
  <si>
    <t>Canteiro  avançado</t>
  </si>
  <si>
    <t>44</t>
  </si>
  <si>
    <t>INFRAESTRUTURA SEGUNDA CLASSIFICAÇÃO</t>
  </si>
  <si>
    <t>AMR-1006916-044-44</t>
  </si>
  <si>
    <t>Infraestrutura da segunda classificação</t>
  </si>
  <si>
    <t>45</t>
  </si>
  <si>
    <t>BOMBAS DE CONCENTRADO DA FLOTAÇÃO MECÂNICA</t>
  </si>
  <si>
    <t>AMR-1006916-045-45</t>
  </si>
  <si>
    <t>Bombas de concentrado da flotação mecânica 0413-BP-01/02/05/06</t>
  </si>
  <si>
    <t>46</t>
  </si>
  <si>
    <t>CABEAMENTO ELÉTRICO DA 0783- SE-01</t>
  </si>
  <si>
    <t>AMR-1006916-046-46</t>
  </si>
  <si>
    <t>Lançamento de cabo elétrico da 0783-SE-01 para as cargas</t>
  </si>
  <si>
    <t>47</t>
  </si>
  <si>
    <t>CABEAMENTO ELÉTRICO DA 0764-SE-0I - EXISTENTE</t>
  </si>
  <si>
    <t>AMR-1006916-47-47</t>
  </si>
  <si>
    <t>Lançamento de cabo elétrico da 0764-SE-0I para as cargas</t>
  </si>
  <si>
    <t>48</t>
  </si>
  <si>
    <t>CABEAMENTO ELÉTRICO  0765-SE-01 - EXISTENTE</t>
  </si>
  <si>
    <t>AMR-1006916-48-48</t>
  </si>
  <si>
    <t>Lançamento de cabo elétrico da  0765-SE-01 para as cargas</t>
  </si>
  <si>
    <t>49</t>
  </si>
  <si>
    <t>CABEAMENTO ELÉTRICO DA 0776-SE-0I - EXISTENTE</t>
  </si>
  <si>
    <t>AMR-1006916-49-49</t>
  </si>
  <si>
    <t>Lançamento de cabo elétrico da  0776-SE-0I  para as cargas</t>
  </si>
  <si>
    <t>50</t>
  </si>
  <si>
    <t>CABEAMENTO ELÉTRICO DA 0774-SE-01 - EXISTENTE</t>
  </si>
  <si>
    <t>AMR-1006916-50-50</t>
  </si>
  <si>
    <t>Lançamento de cabo elétrico da  0774-SE-01  para as cargas</t>
  </si>
  <si>
    <t>51</t>
  </si>
  <si>
    <t>REPOTENCIAMENTO DE AMIDO</t>
  </si>
  <si>
    <t>AMR-1006916-51-51</t>
  </si>
  <si>
    <t>Repotenciamento de amido</t>
  </si>
  <si>
    <t>52</t>
  </si>
  <si>
    <t>DRENAGEM INDUSTRIAL - SEGUNDA CLASSIFICAÇÃO</t>
  </si>
  <si>
    <t>AMR-1006916-52-52</t>
  </si>
  <si>
    <t>53</t>
  </si>
  <si>
    <t>FLOTAÇÃO RECLEANER - PRÉDIO SUL (ELEVADOR)</t>
  </si>
  <si>
    <t>AMR-1006916-53-53</t>
  </si>
  <si>
    <t>54</t>
  </si>
  <si>
    <t>TANQUE DE POLPA (TALHA)</t>
  </si>
  <si>
    <t>AMR-1006916-54-54</t>
  </si>
  <si>
    <t>55</t>
  </si>
  <si>
    <t>SEGUNDA CLASSIFICAÇÃO - REMOAGEM (ELEVADOR)</t>
  </si>
  <si>
    <t>AMR-1006916-55-55</t>
  </si>
  <si>
    <t>56</t>
  </si>
  <si>
    <t>SEGUNDA CLASSIFICAÇÃO - REMOAGEM (LINHA DE VIDA)</t>
  </si>
  <si>
    <t>AMR-1006916-56-56</t>
  </si>
  <si>
    <t>57</t>
  </si>
  <si>
    <t>SEGUNDA CLASSIFICAÇÃO - MOAGEM SECUNDÁRIA (LINHA DE VIDA)</t>
  </si>
  <si>
    <t>AMR-1006916-57-57</t>
  </si>
  <si>
    <t>58</t>
  </si>
  <si>
    <t>Segunda classificação - Caixa 0414-CX-03</t>
  </si>
  <si>
    <t>AMR-1006916-58-58</t>
  </si>
  <si>
    <t>59</t>
  </si>
  <si>
    <t>ALIMENTAÇÃO DO NOVO TANQUE (GALERIA, TUBULAÇÃO E TIE-IN)</t>
  </si>
  <si>
    <t>AMR-1006916-58-59</t>
  </si>
  <si>
    <t>Alimentação Do Novo Tanque (Galeria, Tubulação E Tie-In)</t>
  </si>
  <si>
    <t>60</t>
  </si>
  <si>
    <t>NOVO TANQUE 0716</t>
  </si>
  <si>
    <t>AMR-1006916-58-60</t>
  </si>
  <si>
    <t>Tanque 0716 de água de processo/selagem/serviço</t>
  </si>
  <si>
    <t>61</t>
  </si>
  <si>
    <t>ADUTORA</t>
  </si>
  <si>
    <t>AMR-1006916-58-61</t>
  </si>
  <si>
    <t>Adutora</t>
  </si>
  <si>
    <t>62</t>
  </si>
  <si>
    <t>ESTAÇÃO DE BOMBEAMENTO</t>
  </si>
  <si>
    <t>AMR-1006916-58-62</t>
  </si>
  <si>
    <t>Estação De Bombeamento</t>
  </si>
  <si>
    <t xml:space="preserve">  LEGENDA — ESCOPO</t>
  </si>
  <si>
    <t xml:space="preserve">  ROGÉRIO MATOS</t>
  </si>
  <si>
    <t xml:space="preserve">  Inspeção de Qualidade — Elétrica</t>
  </si>
  <si>
    <t xml:space="preserve">  📅 Data de referência:</t>
  </si>
  <si>
    <t>EM ANDAMENTO/ACOMP. HOJE</t>
  </si>
  <si>
    <t>PENDÊNCIAS HOJE</t>
  </si>
  <si>
    <t xml:space="preserve">  📋 DISCIPLINAS ENVOLVIDAS HOJE</t>
  </si>
  <si>
    <t xml:space="preserve">  📍 ÁREAS / CWAs EM ACOMPANHAMENTO HOJE</t>
  </si>
  <si>
    <t>⚠️  OBSERVAÇÃO / CHECK-IN</t>
  </si>
  <si>
    <t xml:space="preserve">  💡 Para registrar novas atividades, adicione uma linha na aba "Log Diário" com a data correspondente.</t>
  </si>
  <si>
    <t>Status</t>
  </si>
  <si>
    <t>Qtd</t>
  </si>
  <si>
    <t xml:space="preserve">  MARCOS ANTONIO</t>
  </si>
  <si>
    <t xml:space="preserve">  Inspeção de Qualidade — Preservação</t>
  </si>
  <si>
    <t xml:space="preserve">  RAFAEL VIEIRA</t>
  </si>
  <si>
    <t xml:space="preserve">  Inspeção de Qualidade — Eletromecânica</t>
  </si>
  <si>
    <t xml:space="preserve">  EDIGAR BARRETO</t>
  </si>
  <si>
    <t xml:space="preserve">  Inspeção de Qualidade — Solda / LP / Eletromecânica</t>
  </si>
  <si>
    <t xml:space="preserve">  CHARLES JOHNSON</t>
  </si>
  <si>
    <t xml:space="preserve">  Inspeção de Qualidade — Recebimento de Materiais</t>
  </si>
  <si>
    <t xml:space="preserve">  DANIEL HENRIQUE</t>
  </si>
  <si>
    <t xml:space="preserve">  RENAN</t>
  </si>
  <si>
    <t>Datas disponíveis</t>
  </si>
  <si>
    <t>CWA</t>
  </si>
  <si>
    <t>CWA-00 - GERAL</t>
  </si>
  <si>
    <t>CWA-01 - TANQUE DE POLPA</t>
  </si>
  <si>
    <t>CWA-02 - PIPE RACK TANQUE DE POLPA - TRECHO 6</t>
  </si>
  <si>
    <t>CWA-03 - SUBESTAÇÃO DA CONCENTRAÇAO 0764-SE-0I - EXISTENTE</t>
  </si>
  <si>
    <t>CWA-04 - REMOAGEM EXISTENTE</t>
  </si>
  <si>
    <t>CWA-05 - MOAGEM SECUNDÁRIA EXISTENTE</t>
  </si>
  <si>
    <t>CWA-06 - SEGUNDA CLASSIFICAÇÃO - REMOAGEM</t>
  </si>
  <si>
    <t>CWA-07 - SEGUNDA CLASSIFICAÇÃO - MOAGEM SECUNDÁRIA</t>
  </si>
  <si>
    <t>CWA-08 - SISTEMA DE AMOSTRAGEM CONCENTRADO</t>
  </si>
  <si>
    <t>CWA-09 - Caixas 0414 &amp; 0416-CX-01 e Tanques 0414 &amp; 0416-TQ-01</t>
  </si>
  <si>
    <t>CWA-10 - PIRE RACK TRECHO 5</t>
  </si>
  <si>
    <t>CWA-11 - TANQUES CONDICIONADORES</t>
  </si>
  <si>
    <t>CWA-12 - PIPE RACK TRECHO 1</t>
  </si>
  <si>
    <t>CWA-13 - FLOTAÇÃO RECLEANER - PRÉDIO NORTE</t>
  </si>
  <si>
    <t>CWA-14 - FLOTAÇÃO RECLEANER - PRÉDIO SUL</t>
  </si>
  <si>
    <t>CWA-15 - CAIXAS DAS COLUNAS DE FLOTAÇÃO</t>
  </si>
  <si>
    <t>CWA-16 - PIPE RACk TRECHO 4 - LINHA DE REJEITO PARA BARRAGEM</t>
  </si>
  <si>
    <t>CWA-17 - AMOSTRAGEM DE REJEITO</t>
  </si>
  <si>
    <t>CWA-18 - DESCARGA DE REJEITO BARRAGEM - TUBULAÇÃO</t>
  </si>
  <si>
    <t>CWA-19 - DESCARGA DE REJEITO FILTRAGEM &amp; BYPASS (TUBULAÇÃO)</t>
  </si>
  <si>
    <t>CWA-20 - SUBESTAÇÃO DA FLOTAÇÃO RECLEANER 0783-SE-01</t>
  </si>
  <si>
    <t>CWA-21 - SUBESTAÇÃO DOS REAGENTES - 0765-SE-01 - EXISTENTE</t>
  </si>
  <si>
    <t>CWA-22 - SUBESTAÇÃO PRINCIPAL - 0776-SE-0I - EXISTENTE</t>
  </si>
  <si>
    <t>CWA-23 - CASA DE COMPRESSORES</t>
  </si>
  <si>
    <t>CWA-24 - TORRE DE RESFRIAMENTO</t>
  </si>
  <si>
    <t>CWA-25 - ESCRITORIO DE APOIO</t>
  </si>
  <si>
    <t>CWA-26 - PIPE RACK TRECHO 2 - ALIMENTAÇÃO DE UTILIDADES</t>
  </si>
  <si>
    <t>CWA-27 - PIPE RACK TRECHO 3 - ALIMENTAÇÃO DE UTILIDADES</t>
  </si>
  <si>
    <t>CWA-28 - ESTACIONAMENTO</t>
  </si>
  <si>
    <t>CWA-29 - DRENAGEM INDUSTRIAL E PLUVIAL</t>
  </si>
  <si>
    <t>CWA-30 - PAVIMENTAÇÃO</t>
  </si>
  <si>
    <t>CWA-31 - SUBESTAÇÃO DO ESPESSAMENTO - 0774-SE-01 - EXISTENTE</t>
  </si>
  <si>
    <t>CWA-32 - TANQUE DE AMIDO GELATINIZADO 0718-TQ-17</t>
  </si>
  <si>
    <t>CWA-33 - PRÉDIO DOS REAGENTES - EXISTENTE</t>
  </si>
  <si>
    <t>CWA-34 - AMOSTRADOR COURIER</t>
  </si>
  <si>
    <t>CWA-35 - PIPE RACK REMOAGEM TRECHO 2 - EXISTENTE</t>
  </si>
  <si>
    <t>CWA-36 - PIPE RACK FLOTAÇÃO MECÂNICA - EXISTENTE</t>
  </si>
  <si>
    <t>CWA-37 - Sala de controle e Datacenter de TA</t>
  </si>
  <si>
    <t>CWA-38 - SEPARAÇÃO MAGNÉTICA RECLEANER</t>
  </si>
  <si>
    <t>CWA-39 - INTERCONECÇÕES TIE-INS (ÁGUA/PROCESSO/ETC)</t>
  </si>
  <si>
    <t>CWA-40 - DISTRIBUIÇÃO DE REAGENTE (PIPE RACK)</t>
  </si>
  <si>
    <t>CWA-41 - SISTEMA DE ÁGUA POTÁVEL - DISTRIBUIÇÃO</t>
  </si>
  <si>
    <t>CWA-42 - SISTEMA DE ÁGUA</t>
  </si>
  <si>
    <t>CWA-43 - CANTEIRO  AVANÇADO</t>
  </si>
  <si>
    <t>CWA-44 - INFRAESTRUTURA SEGUNDA CLASSIFICAÇÃO</t>
  </si>
  <si>
    <t>CWA-45 - BOMBAS DE CONCENTRADO DA FLOTAÇÃO MECÂNICA</t>
  </si>
  <si>
    <t>CWA-46 - CABEAMENTO ELÉTRICO DA 0783- SE-01</t>
  </si>
  <si>
    <t>CWA-47 - CABEAMENTO ELÉTRICO DA 0764-SE-0I - EXISTENTE</t>
  </si>
  <si>
    <t>CWA-48 - CABEAMENTO ELÉTRICO  0765-SE-01 - EXISTENTE</t>
  </si>
  <si>
    <t>CWA-49 - CABEAMENTO ELÉTRICO DA 0776-SE-0I - EXISTENTE</t>
  </si>
  <si>
    <t>CWA-50 - CABEAMENTO ELÉTRICO DA 0774-SE-01 - EXISTENTE</t>
  </si>
  <si>
    <t>CWA-51 - REPOTENCIAMENTO DE AMIDO</t>
  </si>
  <si>
    <t>CWA-52 - DRENAGEM INDUSTRIAL - SEGUNDA CLASSIFICAÇÃO</t>
  </si>
  <si>
    <t>CWA-53 - FLOTAÇÃO RECLEANER - PRÉDIO SUL (ELEVADOR)</t>
  </si>
  <si>
    <t>CWA-54 - TANQUE DE POLPA (TALHA)</t>
  </si>
  <si>
    <t>CWA-55 - SEGUNDA CLASSIFICAÇÃO - REMOAGEM (ELEVADOR)</t>
  </si>
  <si>
    <t>CWA-56 - SEGUNDA CLASSIFICAÇÃO - REMOAGEM (LINHA DE VIDA)</t>
  </si>
  <si>
    <t>CWA-57 - SEGUNDA CLASSIFICAÇÃO - MOAGEM SECUNDÁRIA (LINHA DE VIDA)</t>
  </si>
  <si>
    <t>CWA-58 - Segunda classificação - Caixa 0414-CX-03</t>
  </si>
  <si>
    <t>CWA-59 - ALIMENTAÇÃO DO NOVO TANQUE (GALERIA, TUBULAÇÃO E TIE-IN)</t>
  </si>
  <si>
    <t>CWA-60 - NOVO TANQUE 0716</t>
  </si>
  <si>
    <t>CWA-61 - ADUTORA</t>
  </si>
  <si>
    <t>CWA-62 - ESTAÇÃO DE BOMBEAMENTO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</si>
</sst>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666666"/>
      <name val="Arial"/>
      <charset val="1"/>
    </font>
    <font>
      <b/>
      <sz val="22"/>
      <color rgb="FFED7D31"/>
      <name val="Arial"/>
      <charset val="1"/>
    </font>
    <font>
      <sz val="10"/>
      <color rgb="FF444444"/>
      <name val="Arial"/>
      <charset val="1"/>
    </font>
    <font>
      <b/>
      <sz val="15"/>
      <color rgb="FFFFFFFF"/>
      <name val="Arial"/>
      <charset val="1"/>
    </font>
    <font>
      <i/>
      <sz val="10"/>
      <color rgb="FF444444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b/>
      <sz val="8"/>
      <color rgb="FF444444"/>
      <name val="Arial"/>
      <charset val="1"/>
    </font>
    <font>
      <b/>
      <sz val="8"/>
      <color rgb="FFC00000"/>
      <name val="Arial"/>
      <charset val="1"/>
    </font>
    <font>
      <b/>
      <sz val="8"/>
      <color rgb="FF0F6E56"/>
      <name val="Arial"/>
      <charset val="1"/>
    </font>
    <font>
      <b/>
      <sz val="28"/>
      <color rgb="FF444444"/>
      <name val="Arial"/>
      <charset val="1"/>
    </font>
    <font>
      <b/>
      <sz val="28"/>
      <color rgb="FFC00000"/>
      <name val="Arial"/>
      <charset val="1"/>
    </font>
    <font>
      <b/>
      <sz val="28"/>
      <color rgb="FF0F6E56"/>
      <name val="Arial"/>
      <charset val="1"/>
    </font>
    <font>
      <b/>
      <sz val="9"/>
      <color rgb="FF7B000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8"/>
      <name val="Arial"/>
      <charset val="1"/>
    </font>
    <font>
      <b/>
      <sz val="10"/>
      <color rgb="FF7B0000"/>
      <name val="Arial"/>
      <charset val="1"/>
    </font>
    <font>
      <b/>
      <sz val="9"/>
      <color rgb="FFCC0000"/>
      <name val="Arial"/>
      <charset val="1"/>
    </font>
    <font>
      <i/>
      <sz val="9"/>
      <color rgb="FF7B0000"/>
      <name val="Arial"/>
      <charset val="1"/>
    </font>
    <font>
      <sz val="8"/>
      <color rgb="FF555555"/>
      <name val="Arial"/>
      <charset val="1"/>
    </font>
    <font>
      <sz val="8"/>
      <color rgb="FF333333"/>
      <name val="Arial"/>
      <charset val="1"/>
    </font>
    <font>
      <sz val="8"/>
      <color rgb="FF000000"/>
      <name val="Arial"/>
      <charset val="1"/>
    </font>
    <font>
      <b/>
      <sz val="18"/>
      <color rgb="FFFFFFFF"/>
      <name val="Arial"/>
      <charset val="1"/>
    </font>
    <font>
      <i/>
      <sz val="10"/>
      <color rgb="FF666666"/>
      <name val="Arial"/>
      <charset val="1"/>
    </font>
    <font>
      <sz val="10"/>
      <color rgb="FF666666"/>
      <name val="Arial"/>
      <charset val="1"/>
    </font>
    <font>
      <b/>
      <sz val="9"/>
      <color rgb="FF666666"/>
      <name val="Arial"/>
      <charset val="1"/>
    </font>
    <font>
      <b/>
      <sz val="36"/>
      <color rgb="FF2E75B6"/>
      <name val="Arial"/>
      <charset val="1"/>
    </font>
    <font>
      <b/>
      <sz val="36"/>
      <color rgb="FFC00000"/>
      <name val="Arial"/>
      <charset val="1"/>
    </font>
    <font>
      <sz val="10"/>
      <color rgb="FF000000"/>
      <name val="Arial"/>
      <charset val="1"/>
    </font>
    <font>
      <sz val="10"/>
      <color rgb="FF888888"/>
      <name val="Arial"/>
      <charset val="1"/>
    </font>
    <font>
      <b/>
      <sz val="14"/>
      <color rgb="FF2E75B6"/>
      <name val="Arial"/>
      <charset val="1"/>
    </font>
    <font>
      <b/>
      <sz val="12"/>
      <color rgb="FF2E75B6"/>
      <name val="Arial"/>
      <charset val="1"/>
    </font>
    <font>
      <sz val="1"/>
      <color rgb="FFFFFFFF"/>
      <name val="Arial"/>
      <charset val="1"/>
    </font>
    <font>
      <i/>
      <sz val="10"/>
      <color rgb="FF996600"/>
      <name val="Arial"/>
      <charset val="1"/>
    </font>
    <font>
      <i/>
      <sz val="9"/>
      <color rgb="FF999999"/>
      <name val="Arial"/>
      <charset val="1"/>
    </font>
    <font>
      <b/>
      <sz val="8"/>
      <color rgb="FF999999"/>
      <name val="Arial"/>
      <charset val="1"/>
    </font>
    <font>
      <sz val="8"/>
      <color rgb="FF999999"/>
      <name val="Arial"/>
      <charset val="1"/>
    </font>
    <font>
      <b/>
      <sz val="36"/>
      <color rgb="FF0F6E56"/>
      <name val="Arial"/>
      <charset val="1"/>
    </font>
    <font>
      <b/>
      <sz val="14"/>
      <color rgb="FF0F6E56"/>
      <name val="Arial"/>
      <charset val="1"/>
    </font>
    <font>
      <b/>
      <sz val="12"/>
      <color rgb="FF0F6E56"/>
      <name val="Arial"/>
      <charset val="1"/>
    </font>
    <font>
      <b/>
      <sz val="36"/>
      <color rgb="FF7030A0"/>
      <name val="Arial"/>
      <charset val="1"/>
    </font>
    <font>
      <b/>
      <sz val="14"/>
      <color rgb="FF7030A0"/>
      <name val="Arial"/>
      <charset val="1"/>
    </font>
    <font>
      <b/>
      <sz val="12"/>
      <color rgb="FF7030A0"/>
      <name val="Arial"/>
      <charset val="1"/>
    </font>
    <font>
      <b/>
      <sz val="36"/>
      <color rgb="FFED7D31"/>
      <name val="Arial"/>
      <charset val="1"/>
    </font>
    <font>
      <b/>
      <sz val="14"/>
      <color rgb="FFED7D31"/>
      <name val="Arial"/>
      <charset val="1"/>
    </font>
    <font>
      <b/>
      <sz val="12"/>
      <color rgb="FFED7D31"/>
      <name val="Arial"/>
      <charset val="1"/>
    </font>
    <font>
      <b/>
      <sz val="36"/>
      <color rgb="FFBF8F00"/>
      <name val="Arial"/>
      <charset val="1"/>
    </font>
    <font>
      <b/>
      <sz val="14"/>
      <color rgb="FFBF8F00"/>
      <name val="Arial"/>
      <charset val="1"/>
    </font>
    <font>
      <b/>
      <sz val="12"/>
      <color rgb="FFBF8F00"/>
      <name val="Arial"/>
      <charset val="1"/>
    </font>
    <font>
      <b/>
      <sz val="14"/>
      <color rgb="FFC00000"/>
      <name val="Arial"/>
      <charset val="1"/>
    </font>
    <font>
      <b/>
      <sz val="12"/>
      <color rgb="FFC00000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rgb="FF404040"/>
        <bgColor rgb="FF444444"/>
      </patternFill>
    </fill>
    <fill>
      <patternFill patternType="solid">
        <fgColor rgb="FFF2F2F2"/>
        <bgColor rgb="FFF7F7F7"/>
      </patternFill>
    </fill>
    <fill>
      <patternFill patternType="solid">
        <fgColor rgb="FFFFF7DD"/>
        <bgColor rgb="FFFFF2CC"/>
      </patternFill>
    </fill>
    <fill>
      <patternFill patternType="solid">
        <fgColor rgb="FFFFFFFF"/>
        <bgColor rgb="FFF7F7F7"/>
      </patternFill>
    </fill>
    <fill>
      <patternFill patternType="solid">
        <fgColor rgb="FF0F6E56"/>
        <bgColor rgb="FF2E75B6"/>
      </patternFill>
    </fill>
    <fill>
      <patternFill patternType="solid">
        <fgColor rgb="FF2E75B6"/>
        <bgColor rgb="FF4F81BD"/>
      </patternFill>
    </fill>
    <fill>
      <patternFill patternType="solid">
        <fgColor rgb="FFE8F1FA"/>
        <bgColor rgb="FFEBEBFC"/>
      </patternFill>
    </fill>
    <fill>
      <patternFill patternType="solid">
        <fgColor rgb="FFE2F3EE"/>
        <bgColor rgb="FFE8F1FA"/>
      </patternFill>
    </fill>
    <fill>
      <patternFill patternType="solid">
        <fgColor rgb="FFFFE0E0"/>
        <bgColor rgb="FFFBE5E5"/>
      </patternFill>
    </fill>
    <fill>
      <patternFill patternType="solid">
        <fgColor rgb="FFFFE066"/>
        <bgColor rgb="FFFFF2CC"/>
      </patternFill>
    </fill>
    <fill>
      <patternFill patternType="solid">
        <fgColor rgb="FF7030A0"/>
        <bgColor rgb="FF800080"/>
      </patternFill>
    </fill>
    <fill>
      <patternFill patternType="solid">
        <fgColor rgb="FFED7D31"/>
        <bgColor rgb="FFF79646"/>
      </patternFill>
    </fill>
    <fill>
      <patternFill patternType="solid">
        <fgColor rgb="FFF2E6F7"/>
        <bgColor rgb="FFEBEBFC"/>
      </patternFill>
    </fill>
    <fill>
      <patternFill patternType="solid">
        <fgColor rgb="FFFCEEE3"/>
        <bgColor rgb="FFFBE5E5"/>
      </patternFill>
    </fill>
    <fill>
      <patternFill patternType="solid">
        <fgColor rgb="FFBF8F00"/>
        <bgColor rgb="FFED7D31"/>
      </patternFill>
    </fill>
    <fill>
      <patternFill patternType="solid">
        <fgColor rgb="FFC00000"/>
        <bgColor rgb="FFCC0000"/>
      </patternFill>
    </fill>
    <fill>
      <patternFill patternType="solid">
        <fgColor rgb="FF1A1A1A"/>
        <bgColor rgb="FF2C2C2C"/>
      </patternFill>
    </fill>
    <fill>
      <patternFill patternType="solid">
        <fgColor rgb="FF2C2C2C"/>
        <bgColor rgb="FF333333"/>
      </patternFill>
    </fill>
    <fill>
      <patternFill patternType="solid">
        <fgColor rgb="FFF7F7F7"/>
        <bgColor rgb="FFF2F2F2"/>
      </patternFill>
    </fill>
    <fill>
      <patternFill patternType="solid">
        <fgColor rgb="FFD9EAD3"/>
        <bgColor rgb="FFE2EFDA"/>
      </patternFill>
    </fill>
    <fill>
      <patternFill patternType="solid">
        <fgColor rgb="FFFFF2CC"/>
        <bgColor rgb="FFFFF7DD"/>
      </patternFill>
    </fill>
    <fill>
      <patternFill patternType="solid">
        <fgColor rgb="FFEBEBFC"/>
        <bgColor rgb="FFE8F1FA"/>
      </patternFill>
    </fill>
    <fill>
      <patternFill patternType="solid">
        <fgColor rgb="FFD8F0E6"/>
        <bgColor rgb="FFE2F3EE"/>
      </patternFill>
    </fill>
    <fill>
      <patternFill patternType="solid">
        <fgColor rgb="FFDDEBF7"/>
        <bgColor rgb="FFDDEAF8"/>
      </patternFill>
    </fill>
    <fill>
      <patternFill patternType="solid">
        <fgColor rgb="FFDDEAF8"/>
        <bgColor rgb="FFDDEBF7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D9EAD3"/>
      </patternFill>
    </fill>
    <fill>
      <patternFill patternType="solid">
        <fgColor rgb="FFF4CCCC"/>
        <bgColor rgb="FFFFE0E0"/>
      </patternFill>
    </fill>
    <fill>
      <patternFill patternType="solid">
        <fgColor rgb="FFFBE5E5"/>
        <bgColor rgb="FFFFE0E0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9999"/>
      </left>
      <right style="thin">
        <color rgb="FFFF9999"/>
      </right>
      <top style="thin">
        <color rgb="FFFF9999"/>
      </top>
      <bottom style="thin">
        <color rgb="FFFF9999"/>
      </bottom>
      <diagonal/>
    </border>
    <border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  <diagonal/>
    </border>
    <border>
      <left style="thin">
        <color rgb="FFE8F1FA"/>
      </left>
      <right style="thin">
        <color rgb="FFE8F1FA"/>
      </right>
      <top style="thin">
        <color rgb="FFE8F1FA"/>
      </top>
      <bottom style="thin">
        <color rgb="FFE8F1FA"/>
      </bottom>
      <diagonal/>
    </border>
    <border>
      <left style="thin">
        <color rgb="FFFBE5E5"/>
      </left>
      <right style="thin">
        <color rgb="FFFBE5E5"/>
      </right>
      <top style="thin">
        <color rgb="FFFBE5E5"/>
      </top>
      <bottom style="thin">
        <color rgb="FFFBE5E5"/>
      </bottom>
      <diagonal/>
    </border>
    <border>
      <left style="thin">
        <color rgb="FFD9D9D9"/>
      </left>
      <right style="thin">
        <color rgb="FF808080"/>
      </right>
      <top style="thin">
        <color rgb="FFD9D9D9"/>
      </top>
      <bottom style="thin">
        <color rgb="FFD9D9D9"/>
      </bottom>
      <diagonal/>
    </border>
    <border>
      <left style="thin">
        <color rgb="FFE2F3EE"/>
      </left>
      <right style="thin">
        <color rgb="FFE2F3EE"/>
      </right>
      <top style="thin">
        <color rgb="FFE2F3EE"/>
      </top>
      <bottom style="thin">
        <color rgb="FFE2F3EE"/>
      </bottom>
      <diagonal/>
    </border>
    <border>
      <left style="thin">
        <color rgb="FFF2E6F7"/>
      </left>
      <right style="thin">
        <color rgb="FFF2E6F7"/>
      </right>
      <top style="thin">
        <color rgb="FFF2E6F7"/>
      </top>
      <bottom style="thin">
        <color rgb="FFF2E6F7"/>
      </bottom>
      <diagonal/>
    </border>
    <border>
      <left style="thin">
        <color rgb="FFFCEEE3"/>
      </left>
      <right style="thin">
        <color rgb="FFFCEEE3"/>
      </right>
      <top style="thin">
        <color rgb="FFFCEEE3"/>
      </top>
      <bottom style="thin">
        <color rgb="FFFCEEE3"/>
      </bottom>
      <diagonal/>
    </border>
    <border>
      <left style="thin">
        <color rgb="FFFFF7DD"/>
      </left>
      <right style="thin">
        <color rgb="FFFFF7DD"/>
      </right>
      <top style="thin">
        <color rgb="FFFFF7DD"/>
      </top>
      <bottom style="thin">
        <color rgb="FFFFF7DD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5" fillId="11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top" wrapText="1"/>
    </xf>
    <xf numFmtId="14" fontId="3" fillId="4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7" fillId="19" borderId="2" xfId="0" applyFont="1" applyFill="1" applyBorder="1" applyAlignment="1">
      <alignment horizontal="center" vertical="center"/>
    </xf>
    <xf numFmtId="0" fontId="0" fillId="5" borderId="0" xfId="0" applyFill="1"/>
    <xf numFmtId="0" fontId="1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20" borderId="0" xfId="0" applyFill="1"/>
    <xf numFmtId="0" fontId="18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14" fontId="18" fillId="20" borderId="1" xfId="0" applyNumberFormat="1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 wrapText="1"/>
    </xf>
    <xf numFmtId="0" fontId="23" fillId="20" borderId="1" xfId="0" applyFont="1" applyFill="1" applyBorder="1" applyAlignment="1">
      <alignment horizontal="left" vertical="center" wrapText="1"/>
    </xf>
    <xf numFmtId="0" fontId="22" fillId="22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8" fillId="20" borderId="1" xfId="0" applyFont="1" applyFill="1" applyBorder="1" applyAlignment="1">
      <alignment horizontal="left" vertical="center" wrapText="1"/>
    </xf>
    <xf numFmtId="14" fontId="18" fillId="5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22" fillId="24" borderId="1" xfId="0" applyFont="1" applyFill="1" applyBorder="1" applyAlignment="1">
      <alignment horizontal="center" vertical="center"/>
    </xf>
    <xf numFmtId="0" fontId="22" fillId="25" borderId="1" xfId="0" applyFont="1" applyFill="1" applyBorder="1" applyAlignment="1">
      <alignment horizontal="center" vertical="center"/>
    </xf>
    <xf numFmtId="0" fontId="22" fillId="26" borderId="1" xfId="0" applyFont="1" applyFill="1" applyBorder="1" applyAlignment="1">
      <alignment horizontal="center" vertical="center"/>
    </xf>
    <xf numFmtId="0" fontId="22" fillId="27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5" fillId="20" borderId="5" xfId="0" applyFont="1" applyFill="1" applyBorder="1" applyAlignment="1">
      <alignment horizontal="left" vertical="center" wrapText="1"/>
    </xf>
    <xf numFmtId="0" fontId="25" fillId="5" borderId="5" xfId="0" applyFont="1" applyFill="1" applyBorder="1" applyAlignment="1">
      <alignment horizontal="left" vertical="center" wrapText="1"/>
    </xf>
    <xf numFmtId="0" fontId="23" fillId="20" borderId="1" xfId="0" applyFont="1" applyFill="1" applyBorder="1" applyAlignment="1">
      <alignment horizontal="left" vertical="center"/>
    </xf>
    <xf numFmtId="0" fontId="26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 wrapText="1"/>
    </xf>
    <xf numFmtId="0" fontId="30" fillId="22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left" vertical="center" wrapText="1"/>
    </xf>
    <xf numFmtId="0" fontId="30" fillId="25" borderId="1" xfId="0" applyFont="1" applyFill="1" applyBorder="1" applyAlignment="1">
      <alignment horizontal="center" vertical="center"/>
    </xf>
    <xf numFmtId="0" fontId="30" fillId="27" borderId="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23" fillId="27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41" fillId="5" borderId="0" xfId="0" applyFont="1" applyFill="1" applyAlignment="1">
      <alignment horizontal="center" vertical="center" wrapText="1"/>
    </xf>
    <xf numFmtId="0" fontId="44" fillId="0" borderId="0" xfId="0" applyFont="1"/>
    <xf numFmtId="0" fontId="45" fillId="0" borderId="0" xfId="0" applyFont="1"/>
    <xf numFmtId="0" fontId="19" fillId="5" borderId="0" xfId="0" applyFont="1" applyFill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 wrapText="1"/>
    </xf>
    <xf numFmtId="0" fontId="18" fillId="0" borderId="0" xfId="0" applyFont="1"/>
    <xf numFmtId="14" fontId="19" fillId="0" borderId="0" xfId="0" applyNumberFormat="1" applyFont="1"/>
    <xf numFmtId="0" fontId="19" fillId="0" borderId="0" xfId="0" applyFont="1"/>
    <xf numFmtId="0" fontId="7" fillId="12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8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left" vertical="center"/>
    </xf>
    <xf numFmtId="0" fontId="7" fillId="17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left" vertical="center"/>
    </xf>
    <xf numFmtId="0" fontId="17" fillId="19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 wrapText="1"/>
    </xf>
    <xf numFmtId="0" fontId="18" fillId="20" borderId="3" xfId="0" applyFont="1" applyFill="1" applyBorder="1" applyAlignment="1">
      <alignment horizontal="left" vertical="center"/>
    </xf>
    <xf numFmtId="0" fontId="19" fillId="20" borderId="1" xfId="0" applyFont="1" applyFill="1" applyBorder="1" applyAlignment="1">
      <alignment horizontal="left" vertical="center" wrapText="1"/>
    </xf>
    <xf numFmtId="0" fontId="2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0" fillId="0" borderId="0" xfId="0"/>
    <xf numFmtId="0" fontId="31" fillId="7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33" fillId="5" borderId="0" xfId="0" applyFont="1" applyFill="1" applyAlignment="1">
      <alignment horizontal="right" vertical="center"/>
    </xf>
    <xf numFmtId="14" fontId="7" fillId="13" borderId="0" xfId="0" applyNumberFormat="1" applyFont="1" applyFill="1" applyAlignment="1">
      <alignment horizontal="center" vertical="center"/>
    </xf>
    <xf numFmtId="0" fontId="34" fillId="8" borderId="6" xfId="0" applyFont="1" applyFill="1" applyBorder="1" applyAlignment="1">
      <alignment horizontal="center" vertical="center"/>
    </xf>
    <xf numFmtId="0" fontId="34" fillId="30" borderId="7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6" fillId="30" borderId="7" xfId="0" applyFont="1" applyFill="1" applyBorder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8" fillId="5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39" fillId="8" borderId="0" xfId="0" applyFont="1" applyFill="1" applyAlignment="1">
      <alignment horizontal="center" vertical="center"/>
    </xf>
    <xf numFmtId="0" fontId="40" fillId="8" borderId="0" xfId="0" applyFont="1" applyFill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/>
    </xf>
    <xf numFmtId="0" fontId="41" fillId="5" borderId="0" xfId="0" applyFont="1" applyFill="1" applyAlignment="1">
      <alignment horizontal="left" vertical="center" wrapText="1"/>
    </xf>
    <xf numFmtId="0" fontId="41" fillId="5" borderId="0" xfId="0" applyFont="1" applyFill="1" applyAlignment="1">
      <alignment horizontal="center" vertical="center"/>
    </xf>
    <xf numFmtId="0" fontId="42" fillId="4" borderId="0" xfId="0" applyFont="1" applyFill="1" applyAlignment="1">
      <alignment horizontal="left" vertical="center"/>
    </xf>
    <xf numFmtId="0" fontId="43" fillId="5" borderId="0" xfId="0" applyFont="1" applyFill="1" applyAlignment="1">
      <alignment horizontal="left" vertical="center"/>
    </xf>
    <xf numFmtId="0" fontId="31" fillId="6" borderId="0" xfId="0" applyFont="1" applyFill="1" applyAlignment="1">
      <alignment horizontal="left" vertical="center"/>
    </xf>
    <xf numFmtId="0" fontId="34" fillId="9" borderId="9" xfId="0" applyFont="1" applyFill="1" applyBorder="1" applyAlignment="1">
      <alignment horizontal="center" vertical="center"/>
    </xf>
    <xf numFmtId="0" fontId="46" fillId="9" borderId="9" xfId="0" applyFont="1" applyFill="1" applyBorder="1" applyAlignment="1">
      <alignment horizontal="center" vertical="center"/>
    </xf>
    <xf numFmtId="0" fontId="47" fillId="9" borderId="0" xfId="0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 wrapText="1"/>
    </xf>
    <xf numFmtId="0" fontId="31" fillId="12" borderId="0" xfId="0" applyFont="1" applyFill="1" applyAlignment="1">
      <alignment horizontal="left" vertical="center"/>
    </xf>
    <xf numFmtId="0" fontId="34" fillId="14" borderId="10" xfId="0" applyFont="1" applyFill="1" applyBorder="1" applyAlignment="1">
      <alignment horizontal="center" vertical="center"/>
    </xf>
    <xf numFmtId="0" fontId="49" fillId="14" borderId="10" xfId="0" applyFont="1" applyFill="1" applyBorder="1" applyAlignment="1">
      <alignment horizontal="center" vertical="center"/>
    </xf>
    <xf numFmtId="0" fontId="50" fillId="14" borderId="0" xfId="0" applyFont="1" applyFill="1" applyAlignment="1">
      <alignment horizontal="center" vertical="center"/>
    </xf>
    <xf numFmtId="0" fontId="51" fillId="14" borderId="0" xfId="0" applyFont="1" applyFill="1" applyAlignment="1">
      <alignment horizontal="center" vertical="center" wrapText="1"/>
    </xf>
    <xf numFmtId="0" fontId="31" fillId="13" borderId="0" xfId="0" applyFont="1" applyFill="1" applyAlignment="1">
      <alignment horizontal="left" vertical="center"/>
    </xf>
    <xf numFmtId="0" fontId="34" fillId="15" borderId="11" xfId="0" applyFont="1" applyFill="1" applyBorder="1" applyAlignment="1">
      <alignment horizontal="center" vertical="center"/>
    </xf>
    <xf numFmtId="0" fontId="52" fillId="15" borderId="11" xfId="0" applyFont="1" applyFill="1" applyBorder="1" applyAlignment="1">
      <alignment horizontal="center" vertical="center"/>
    </xf>
    <xf numFmtId="0" fontId="53" fillId="15" borderId="0" xfId="0" applyFont="1" applyFill="1" applyAlignment="1">
      <alignment horizontal="center" vertical="center"/>
    </xf>
    <xf numFmtId="0" fontId="54" fillId="15" borderId="0" xfId="0" applyFont="1" applyFill="1" applyAlignment="1">
      <alignment horizontal="center" vertical="center" wrapText="1"/>
    </xf>
    <xf numFmtId="0" fontId="31" fillId="16" borderId="0" xfId="0" applyFont="1" applyFill="1" applyAlignment="1">
      <alignment horizontal="left" vertical="center"/>
    </xf>
    <xf numFmtId="0" fontId="34" fillId="4" borderId="12" xfId="0" applyFont="1" applyFill="1" applyBorder="1" applyAlignment="1">
      <alignment horizontal="center" vertical="center"/>
    </xf>
    <xf numFmtId="0" fontId="55" fillId="4" borderId="12" xfId="0" applyFont="1" applyFill="1" applyBorder="1" applyAlignment="1">
      <alignment horizontal="center" vertical="center"/>
    </xf>
    <xf numFmtId="0" fontId="56" fillId="4" borderId="0" xfId="0" applyFont="1" applyFill="1" applyAlignment="1">
      <alignment horizontal="center" vertical="center"/>
    </xf>
    <xf numFmtId="0" fontId="57" fillId="4" borderId="0" xfId="0" applyFont="1" applyFill="1" applyAlignment="1">
      <alignment horizontal="center" vertical="center" wrapText="1"/>
    </xf>
    <xf numFmtId="0" fontId="31" fillId="17" borderId="0" xfId="0" applyFont="1" applyFill="1" applyAlignment="1">
      <alignment horizontal="left" vertical="center"/>
    </xf>
    <xf numFmtId="0" fontId="58" fillId="30" borderId="0" xfId="0" applyFont="1" applyFill="1" applyAlignment="1">
      <alignment horizontal="center" vertical="center"/>
    </xf>
    <xf numFmtId="0" fontId="59" fillId="30" borderId="0" xfId="0" applyFont="1" applyFill="1" applyAlignment="1">
      <alignment horizontal="center" vertical="center" wrapText="1"/>
    </xf>
    <xf numFmtId="0" fontId="25" fillId="20" borderId="1" xfId="0" applyFont="1" applyFill="1" applyBorder="1" applyAlignment="1">
      <alignment horizontal="left" vertical="center" wrapText="1"/>
    </xf>
    <xf numFmtId="0" fontId="23" fillId="5" borderId="0" xfId="0" applyFont="1" applyFill="1" applyAlignment="1">
      <alignment horizontal="center" vertical="center"/>
    </xf>
  </cellXfs>
  <cellStyles count="1">
    <cellStyle name="Normal" xfId="0" builtinId="0"/>
  </cellStyles>
  <dxfs count="114">
    <dxf>
      <font>
        <b/>
        <sz val="9"/>
        <color rgb="FF7B0000"/>
        <name val="Arial"/>
        <charset val="1"/>
      </font>
      <fill>
        <patternFill>
          <bgColor rgb="FFFFE06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ont>
        <sz val="9"/>
        <color rgb="FFFFFFFF"/>
        <name val="Arial"/>
        <charset val="1"/>
      </font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/>
        <sz val="9"/>
        <color rgb="FF7B0000"/>
        <name val="Arial"/>
        <charset val="1"/>
      </font>
      <fill>
        <patternFill>
          <bgColor rgb="FFFFE066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ont>
        <sz val="9"/>
        <color rgb="FFFFFFFF"/>
        <name val="Arial"/>
        <charset val="1"/>
      </font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/>
        <sz val="9"/>
        <color rgb="FF7B0000"/>
        <name val="Arial"/>
        <charset val="1"/>
      </font>
      <fill>
        <patternFill>
          <bgColor rgb="FFFFE066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ont>
        <sz val="9"/>
        <color rgb="FFFFFFFF"/>
        <name val="Arial"/>
        <charset val="1"/>
      </font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/>
        <sz val="9"/>
        <color rgb="FF7B0000"/>
        <name val="Arial"/>
        <charset val="1"/>
      </font>
      <fill>
        <patternFill>
          <bgColor rgb="FFFFE066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ont>
        <sz val="9"/>
        <color rgb="FFFFFFFF"/>
        <name val="Arial"/>
        <charset val="1"/>
      </font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/>
        <sz val="9"/>
        <color rgb="FF7B0000"/>
        <name val="Arial"/>
        <charset val="1"/>
      </font>
      <fill>
        <patternFill>
          <bgColor rgb="FFFFE066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ont>
        <sz val="9"/>
        <color rgb="FFFFFFFF"/>
        <name val="Arial"/>
        <charset val="1"/>
      </font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/>
        <sz val="9"/>
        <color rgb="FF7B0000"/>
        <name val="Arial"/>
        <charset val="1"/>
      </font>
      <fill>
        <patternFill>
          <bgColor rgb="FFFFE066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ont>
        <sz val="9"/>
        <color rgb="FFFFFFFF"/>
        <name val="Arial"/>
        <charset val="1"/>
      </font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b/>
        <sz val="9"/>
        <color rgb="FF7B0000"/>
        <name val="Arial"/>
        <charset val="1"/>
      </font>
      <fill>
        <patternFill>
          <bgColor rgb="FFFFE066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D9EAD3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ont>
        <sz val="9"/>
        <color rgb="FFFFFFFF"/>
        <name val="Arial"/>
        <charset val="1"/>
      </font>
      <fill>
        <patternFill>
          <bgColor rgb="FFFFFFFF"/>
        </patternFill>
      </fill>
      <border diagonalUp="0" diagonalDown="0">
        <left/>
        <right/>
        <top/>
        <bottom/>
      </border>
    </dxf>
    <dxf>
      <fill>
        <patternFill>
          <bgColor rgb="FFFFE0E0"/>
        </patternFill>
      </fill>
    </dxf>
    <dxf>
      <font>
        <b/>
        <sz val="9"/>
        <name val="Arial"/>
        <charset val="1"/>
      </font>
      <fill>
        <patternFill>
          <bgColor rgb="FFC6EFCE"/>
        </patternFill>
      </fill>
    </dxf>
    <dxf>
      <font>
        <b/>
        <sz val="9"/>
        <color rgb="FF0F6E56"/>
        <name val="Arial"/>
        <charset val="1"/>
      </font>
      <fill>
        <patternFill>
          <bgColor rgb="FFE2F3EE"/>
        </patternFill>
      </fill>
    </dxf>
    <dxf>
      <font>
        <b/>
        <sz val="9"/>
        <color rgb="FF0F6E56"/>
        <name val="Arial"/>
        <charset val="1"/>
      </font>
      <fill>
        <patternFill>
          <bgColor rgb="FFE2F3EE"/>
        </patternFill>
      </fill>
    </dxf>
    <dxf>
      <font>
        <b/>
        <sz val="9"/>
        <color rgb="FF0F6E56"/>
        <name val="Arial"/>
        <charset val="1"/>
      </font>
      <fill>
        <patternFill>
          <bgColor rgb="FFE2F3EE"/>
        </patternFill>
      </fill>
    </dxf>
    <dxf>
      <font>
        <b/>
        <sz val="9"/>
        <color rgb="FF0F6E56"/>
        <name val="Arial"/>
        <charset val="1"/>
      </font>
      <fill>
        <patternFill>
          <bgColor rgb="FFE2F3EE"/>
        </patternFill>
      </fill>
    </dxf>
    <dxf>
      <font>
        <b/>
        <sz val="9"/>
        <color rgb="FF0F6E56"/>
        <name val="Arial"/>
        <charset val="1"/>
      </font>
      <fill>
        <patternFill>
          <bgColor rgb="FFE2F3EE"/>
        </patternFill>
      </fill>
    </dxf>
    <dxf>
      <font>
        <b/>
        <sz val="9"/>
        <color rgb="FF0F6E56"/>
        <name val="Arial"/>
        <charset val="1"/>
      </font>
      <fill>
        <patternFill>
          <bgColor rgb="FFE2F3EE"/>
        </patternFill>
      </fill>
    </dxf>
    <dxf>
      <font>
        <b/>
        <sz val="9"/>
        <color rgb="FF0F6E56"/>
        <name val="Arial"/>
        <charset val="1"/>
      </font>
      <fill>
        <patternFill>
          <bgColor rgb="FFE2F3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F2F2F2"/>
      <rgbColor rgb="FF0000FF"/>
      <rgbColor rgb="FFFCE4D6"/>
      <rgbColor rgb="FFFCEEE3"/>
      <rgbColor rgb="FFDDEBF7"/>
      <rgbColor rgb="FF7B0000"/>
      <rgbColor rgb="FFFBE5E5"/>
      <rgbColor rgb="FF000080"/>
      <rgbColor rgb="FF996600"/>
      <rgbColor rgb="FF800080"/>
      <rgbColor rgb="FF0F6E56"/>
      <rgbColor rgb="FFD9EAD3"/>
      <rgbColor rgb="FF808080"/>
      <rgbColor rgb="FF888888"/>
      <rgbColor rgb="FF7030A0"/>
      <rgbColor rgb="FFFFF7DD"/>
      <rgbColor rgb="FFD8F0E6"/>
      <rgbColor rgb="FF660066"/>
      <rgbColor rgb="FFBF8F00"/>
      <rgbColor rgb="FFF2E6F7"/>
      <rgbColor rgb="FFD9D9D9"/>
      <rgbColor rgb="FF000080"/>
      <rgbColor rgb="FFF7F7F7"/>
      <rgbColor rgb="FFE2EFDA"/>
      <rgbColor rgb="FFE8F1FA"/>
      <rgbColor rgb="FF800080"/>
      <rgbColor rgb="FFC00000"/>
      <rgbColor rgb="FF666666"/>
      <rgbColor rgb="FF0000FF"/>
      <rgbColor rgb="FFEBEBFC"/>
      <rgbColor rgb="FFE2F3EE"/>
      <rgbColor rgb="FFC6EFCE"/>
      <rgbColor rgb="FFFFF2CC"/>
      <rgbColor rgb="FFDDEAF8"/>
      <rgbColor rgb="FFFF9999"/>
      <rgbColor rgb="FFFFE0E0"/>
      <rgbColor rgb="FFF4CCCC"/>
      <rgbColor rgb="FF2E75B6"/>
      <rgbColor rgb="FF4BACC6"/>
      <rgbColor rgb="FF9BBB59"/>
      <rgbColor rgb="FFFFE066"/>
      <rgbColor rgb="FFF79646"/>
      <rgbColor rgb="FFED7D31"/>
      <rgbColor rgb="FF8064A2"/>
      <rgbColor rgb="FF999999"/>
      <rgbColor rgb="FF444444"/>
      <rgbColor rgb="FF4F81BD"/>
      <rgbColor rgb="FF1A1A1A"/>
      <rgbColor rgb="FF2C2C2C"/>
      <rgbColor rgb="FF555555"/>
      <rgbColor rgb="FFC0504D"/>
      <rgbColor rgb="FF40404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Status das Atividades (hoje)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'Rogério Matos'!$D$199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B8C-4272-B81C-826983A301B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B8C-4272-B81C-826983A301B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B8C-4272-B81C-826983A301B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B8C-4272-B81C-826983A301B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B8C-4272-B81C-826983A301B7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B8C-4272-B81C-826983A301B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B8C-4272-B81C-826983A301B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B8C-4272-B81C-826983A301B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B8C-4272-B81C-826983A301B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B8C-4272-B81C-826983A301B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B8C-4272-B81C-826983A301B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B8C-4272-B81C-826983A301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'Rogério Matos'!$C$200:$C$205</c:f>
              <c:strCache>
                <c:ptCount val="2"/>
                <c:pt idx="1">
                  <c:v>Em andamento</c:v>
                </c:pt>
              </c:strCache>
            </c:strRef>
          </c:cat>
          <c:val>
            <c:numRef>
              <c:f>'Rogério Matos'!$D$200:$D$205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8C-4272-B81C-826983A30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Status das Atividades (hoje)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'Marcos Antonio'!$D$199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884-414F-8ABB-4A1534F4DD4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884-414F-8ABB-4A1534F4DD4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884-414F-8ABB-4A1534F4DD4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884-414F-8ABB-4A1534F4DD4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884-414F-8ABB-4A1534F4DD4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884-414F-8ABB-4A1534F4DD4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884-414F-8ABB-4A1534F4DD4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884-414F-8ABB-4A1534F4DD4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884-414F-8ABB-4A1534F4DD4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884-414F-8ABB-4A1534F4DD4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884-414F-8ABB-4A1534F4DD4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884-414F-8ABB-4A1534F4DD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'Marcos Antonio'!$C$200:$C$205</c:f>
              <c:strCache>
                <c:ptCount val="2"/>
                <c:pt idx="1">
                  <c:v>Em andamento</c:v>
                </c:pt>
              </c:strCache>
            </c:strRef>
          </c:cat>
          <c:val>
            <c:numRef>
              <c:f>'Marcos Antonio'!$D$200:$D$205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84-414F-8ABB-4A1534F4D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Status das Atividades (hoje)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'Rafael Vieira'!$D$199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830-408B-8B28-CBD643B3EF6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830-408B-8B28-CBD643B3EF6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830-408B-8B28-CBD643B3EF6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830-408B-8B28-CBD643B3EF6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830-408B-8B28-CBD643B3EF69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830-408B-8B28-CBD643B3EF6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830-408B-8B28-CBD643B3EF6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830-408B-8B28-CBD643B3EF6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830-408B-8B28-CBD643B3EF6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830-408B-8B28-CBD643B3EF6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830-408B-8B28-CBD643B3EF6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830-408B-8B28-CBD643B3EF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'Rafael Vieira'!$C$200:$C$205</c:f>
            </c:strRef>
          </c:cat>
          <c:val>
            <c:numRef>
              <c:f>'Rafael Vieira'!$D$200:$D$205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30-408B-8B28-CBD643B3E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Status das Atividades (hoje)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'Edigar Barreto'!$D$199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7E5-4D7A-98DA-53774CEADC2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7E5-4D7A-98DA-53774CEADC2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7E5-4D7A-98DA-53774CEADC2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7E5-4D7A-98DA-53774CEADC2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7E5-4D7A-98DA-53774CEADC2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07E5-4D7A-98DA-53774CEADC2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7E5-4D7A-98DA-53774CEADC2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7E5-4D7A-98DA-53774CEADC2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7E5-4D7A-98DA-53774CEADC2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7E5-4D7A-98DA-53774CEADC2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7E5-4D7A-98DA-53774CEADC2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7E5-4D7A-98DA-53774CEADC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'Edigar Barreto'!$C$200:$C$205</c:f>
            </c:strRef>
          </c:cat>
          <c:val>
            <c:numRef>
              <c:f>'Edigar Barreto'!$D$200:$D$205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E5-4D7A-98DA-53774CEAD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Status das Atividades (hoje)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'Charles Johnson'!$D$199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9E9-4E46-BC94-E823A5C8D84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9E9-4E46-BC94-E823A5C8D84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9E9-4E46-BC94-E823A5C8D84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9E9-4E46-BC94-E823A5C8D84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9E9-4E46-BC94-E823A5C8D84A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9E9-4E46-BC94-E823A5C8D84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9E9-4E46-BC94-E823A5C8D84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9E9-4E46-BC94-E823A5C8D84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9E9-4E46-BC94-E823A5C8D84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9E9-4E46-BC94-E823A5C8D84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9E9-4E46-BC94-E823A5C8D84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9E9-4E46-BC94-E823A5C8D8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'Charles Johnson'!$C$200:$C$205</c:f>
            </c:strRef>
          </c:cat>
          <c:val>
            <c:numRef>
              <c:f>'Charles Johnson'!$D$200:$D$205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E9-4E46-BC94-E823A5C8D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Status das Atividades (hoje)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'Daniel Henrique'!$D$199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632-403D-9726-58D13609FB3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632-403D-9726-58D13609FB3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632-403D-9726-58D13609FB3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632-403D-9726-58D13609FB3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632-403D-9726-58D13609FB34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632-403D-9726-58D13609FB3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632-403D-9726-58D13609FB3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632-403D-9726-58D13609FB3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632-403D-9726-58D13609FB3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632-403D-9726-58D13609FB3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632-403D-9726-58D13609FB3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632-403D-9726-58D13609FB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'Daniel Henrique'!$C$200:$C$205</c:f>
              <c:strCache>
                <c:ptCount val="4"/>
                <c:pt idx="1">
                  <c:v>Em andamento</c:v>
                </c:pt>
                <c:pt idx="3">
                  <c:v>Inspecionado OK</c:v>
                </c:pt>
              </c:strCache>
            </c:strRef>
          </c:cat>
          <c:val>
            <c:numRef>
              <c:f>'Daniel Henrique'!$D$200:$D$205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32-403D-9726-58D13609F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Status das Atividades (hoje)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Renan!$D$199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014-4111-86BE-2AACA2ED7E0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014-4111-86BE-2AACA2ED7E0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014-4111-86BE-2AACA2ED7E0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014-4111-86BE-2AACA2ED7E0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014-4111-86BE-2AACA2ED7E00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014-4111-86BE-2AACA2ED7E0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014-4111-86BE-2AACA2ED7E0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014-4111-86BE-2AACA2ED7E0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014-4111-86BE-2AACA2ED7E0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014-4111-86BE-2AACA2ED7E0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7014-4111-86BE-2AACA2ED7E0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7014-4111-86BE-2AACA2ED7E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Renan!$C$200:$C$205</c:f>
            </c:strRef>
          </c:cat>
          <c:val>
            <c:numRef>
              <c:f>Renan!$D$200:$D$205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14-4111-86BE-2AACA2ED7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7</xdr:col>
      <xdr:colOff>63360</xdr:colOff>
      <xdr:row>25</xdr:row>
      <xdr:rowOff>50760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7</xdr:col>
      <xdr:colOff>63360</xdr:colOff>
      <xdr:row>25</xdr:row>
      <xdr:rowOff>50760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7</xdr:col>
      <xdr:colOff>63360</xdr:colOff>
      <xdr:row>25</xdr:row>
      <xdr:rowOff>50760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7</xdr:col>
      <xdr:colOff>63360</xdr:colOff>
      <xdr:row>25</xdr:row>
      <xdr:rowOff>50760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7</xdr:col>
      <xdr:colOff>63360</xdr:colOff>
      <xdr:row>25</xdr:row>
      <xdr:rowOff>50760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7</xdr:col>
      <xdr:colOff>63360</xdr:colOff>
      <xdr:row>25</xdr:row>
      <xdr:rowOff>50760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7</xdr:col>
      <xdr:colOff>64440</xdr:colOff>
      <xdr:row>25</xdr:row>
      <xdr:rowOff>51840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tabSelected="1" zoomScaleNormal="100" workbookViewId="0">
      <selection sqref="A1:D1"/>
    </sheetView>
  </sheetViews>
  <sheetFormatPr defaultColWidth="8.7109375" defaultRowHeight="15" x14ac:dyDescent="0.25"/>
  <cols>
    <col min="1" max="1" width="3" customWidth="1"/>
    <col min="2" max="2" width="18" customWidth="1"/>
    <col min="3" max="3" width="16" customWidth="1"/>
    <col min="4" max="4" width="3" customWidth="1"/>
  </cols>
  <sheetData>
    <row r="1" spans="1:4" ht="30" customHeight="1" x14ac:dyDescent="0.25">
      <c r="A1" s="14" t="s">
        <v>0</v>
      </c>
      <c r="B1" s="14"/>
      <c r="C1" s="14"/>
      <c r="D1" s="14"/>
    </row>
    <row r="3" spans="1:4" ht="15" customHeight="1" x14ac:dyDescent="0.25">
      <c r="B3" s="13" t="s">
        <v>1</v>
      </c>
      <c r="C3" s="13"/>
    </row>
    <row r="4" spans="1:4" ht="15" customHeight="1" x14ac:dyDescent="0.25">
      <c r="B4" s="12">
        <v>46203</v>
      </c>
      <c r="C4" s="12"/>
    </row>
    <row r="5" spans="1:4" ht="15" customHeight="1" x14ac:dyDescent="0.25">
      <c r="B5" s="12"/>
      <c r="C5" s="12"/>
    </row>
    <row r="7" spans="1:4" ht="139.5" customHeight="1" x14ac:dyDescent="0.25">
      <c r="B7" s="11" t="s">
        <v>2</v>
      </c>
      <c r="C7" s="11"/>
    </row>
    <row r="8" spans="1:4" ht="15" customHeight="1" x14ac:dyDescent="0.25">
      <c r="B8" s="11"/>
      <c r="C8" s="11"/>
    </row>
    <row r="9" spans="1:4" ht="15" customHeight="1" x14ac:dyDescent="0.25">
      <c r="B9" s="11"/>
      <c r="C9" s="11"/>
    </row>
  </sheetData>
  <mergeCells count="4">
    <mergeCell ref="A1:D1"/>
    <mergeCell ref="B3:C3"/>
    <mergeCell ref="B4:C5"/>
    <mergeCell ref="B7:C9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ione a data" prompt="Clique na seta e escolha a data para filtrar o dashboard" xr:uid="{00000000-0002-0000-0000-000000000000}">
          <x14:formula1>
            <xm:f>_Datas!$A$2:$A$101</xm:f>
          </x14:formula1>
          <x14:formula2>
            <xm:f>0</xm:f>
          </x14:formula2>
          <xm:sqref>B4:C5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51"/>
  <sheetViews>
    <sheetView showGridLines="0" topLeftCell="A34" zoomScaleNormal="100" workbookViewId="0">
      <selection sqref="A1:N51"/>
    </sheetView>
  </sheetViews>
  <sheetFormatPr defaultColWidth="8.7109375" defaultRowHeight="15" x14ac:dyDescent="0.25"/>
  <cols>
    <col min="1" max="1" width="2" customWidth="1"/>
    <col min="2" max="2" width="16" customWidth="1"/>
    <col min="3" max="3" width="14" customWidth="1"/>
    <col min="4" max="6" width="8" customWidth="1"/>
    <col min="7" max="7" width="2" customWidth="1"/>
    <col min="8" max="8" width="16" customWidth="1"/>
    <col min="9" max="9" width="14" customWidth="1"/>
    <col min="10" max="11" width="8" customWidth="1"/>
    <col min="12" max="12" width="14.85546875" bestFit="1" customWidth="1"/>
    <col min="13" max="13" width="5.85546875" bestFit="1" customWidth="1"/>
  </cols>
  <sheetData>
    <row r="1" spans="1:14" ht="37.5" customHeight="1" x14ac:dyDescent="0.25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ht="19.5" customHeight="1" x14ac:dyDescent="0.25">
      <c r="A2" s="9" t="str">
        <f>"  📅 Referência: "&amp;TEXT(Painel!$B$4,"DD/MM/YYYY")&amp;"   |   Total de atividades do dia: "&amp;COUNTIF('Log Diário'!$A$2:$A$154,Painel!$B$4)</f>
        <v xml:space="preserve">  📅 Referência: 30/06/YYYY   |   Total de atividades do dia: 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4" ht="7.5" customHeight="1" x14ac:dyDescent="0.25"/>
    <row r="4" spans="1:14" ht="24" customHeight="1" x14ac:dyDescent="0.25">
      <c r="B4" s="8" t="s">
        <v>4</v>
      </c>
      <c r="C4" s="8"/>
      <c r="D4" s="8"/>
      <c r="E4" s="8"/>
      <c r="F4" s="8"/>
      <c r="G4" s="8"/>
      <c r="I4" s="7" t="s">
        <v>5</v>
      </c>
      <c r="J4" s="7"/>
      <c r="K4" s="7"/>
      <c r="L4" s="7"/>
      <c r="M4" s="7"/>
      <c r="N4" s="7"/>
    </row>
    <row r="5" spans="1:14" ht="15" customHeight="1" x14ac:dyDescent="0.25">
      <c r="B5" s="6" t="s">
        <v>6</v>
      </c>
      <c r="C5" s="6"/>
      <c r="D5" s="6"/>
      <c r="E5" s="6"/>
      <c r="F5" s="6"/>
      <c r="G5" s="6"/>
      <c r="I5" s="5" t="s">
        <v>7</v>
      </c>
      <c r="J5" s="5"/>
      <c r="K5" s="5"/>
      <c r="L5" s="5"/>
      <c r="M5" s="5"/>
      <c r="N5" s="5"/>
    </row>
    <row r="6" spans="1:14" ht="15.75" customHeight="1" x14ac:dyDescent="0.25">
      <c r="B6" s="15" t="s">
        <v>8</v>
      </c>
      <c r="D6" s="16" t="s">
        <v>9</v>
      </c>
      <c r="F6" s="17" t="s">
        <v>10</v>
      </c>
      <c r="I6" s="15" t="s">
        <v>8</v>
      </c>
      <c r="K6" s="16" t="s">
        <v>9</v>
      </c>
      <c r="M6" s="17" t="s">
        <v>10</v>
      </c>
    </row>
    <row r="7" spans="1:14" ht="19.5" customHeight="1" x14ac:dyDescent="0.25">
      <c r="B7" s="4">
        <f>COUNTIFS('Log Diário'!$B$2:$B$154,"Rogério Matos",'Log Diário'!$A$2:$A$154,Painel!$B$4)</f>
        <v>3</v>
      </c>
      <c r="C7" s="4"/>
      <c r="D7" s="3">
        <f>COUNTIFS('Log Diário'!$B$2:$B$154,"Rogério Matos",'Log Diário'!$A$2:$A$154,Painel!$B$4,'Log Diário'!$I$2:$I$154,"Reprovado")+COUNTIFS('Log Diário'!$B$2:$B$154,"Rogério Matos",'Log Diário'!$A$2:$A$154,Painel!$B$4,'Log Diário'!$I$2:$I$154,"Pendência")+COUNTIFS('Log Diário'!$B$2:$B$154,"Rogério Matos",'Log Diário'!$A$2:$A$154,Painel!$B$4,'Log Diário'!$I$2:$I$154,"Não finalizado")+COUNTIFS('Log Diário'!$B$2:$B$154,"Rogério Matos",'Log Diário'!$A$2:$A$154,Painel!$B$4,'Log Diário'!$I$2:$I$154,"Reprovado parcial")</f>
        <v>0</v>
      </c>
      <c r="E7" s="3"/>
      <c r="F7" s="2">
        <f>COUNTIFS('Log Diário'!$B$2:$B$154,"Rogério Matos",'Log Diário'!$A$2:$A$154,Painel!$B$4,'Log Diário'!$I$2:$I$154,"Inspecionado OK")+COUNTIFS('Log Diário'!$B$2:$B$154,"Rogério Matos",'Log Diário'!$A$2:$A$154,Painel!$B$4,'Log Diário'!$I$2:$I$154,"Finalizado")</f>
        <v>0</v>
      </c>
      <c r="G7" s="2"/>
      <c r="I7" s="4">
        <f>COUNTIFS('Log Diário'!$B$2:$B$154,"Marcos Antonio",'Log Diário'!$A$2:$A$154,Painel!$B$4)</f>
        <v>2</v>
      </c>
      <c r="J7" s="4"/>
      <c r="K7" s="3">
        <f>COUNTIFS('Log Diário'!$B$2:$B$154,"Marcos Antonio",'Log Diário'!$A$2:$A$154,Painel!$B$4,'Log Diário'!$I$2:$I$154,"Reprovado")+COUNTIFS('Log Diário'!$B$2:$B$154,"Marcos Antonio",'Log Diário'!$A$2:$A$154,Painel!$B$4,'Log Diário'!$I$2:$I$154,"Pendência")+COUNTIFS('Log Diário'!$B$2:$B$154,"Marcos Antonio",'Log Diário'!$A$2:$A$154,Painel!$B$4,'Log Diário'!$I$2:$I$154,"Não finalizado")+COUNTIFS('Log Diário'!$B$2:$B$154,"Marcos Antonio",'Log Diário'!$A$2:$A$154,Painel!$B$4,'Log Diário'!$I$2:$I$154,"Reprovado parcial")</f>
        <v>0</v>
      </c>
      <c r="L7" s="3"/>
      <c r="M7" s="2">
        <f>COUNTIFS('Log Diário'!$B$2:$B$154,"Marcos Antonio",'Log Diário'!$A$2:$A$154,Painel!$B$4,'Log Diário'!$I$2:$I$154,"Inspecionado OK")+COUNTIFS('Log Diário'!$B$2:$B$154,"Marcos Antonio",'Log Diário'!$A$2:$A$154,Painel!$B$4,'Log Diário'!$I$2:$I$154,"Finalizado")</f>
        <v>0</v>
      </c>
      <c r="N7" s="2"/>
    </row>
    <row r="8" spans="1:14" ht="15.75" customHeight="1" x14ac:dyDescent="0.25">
      <c r="B8" s="4"/>
      <c r="C8" s="4"/>
      <c r="D8" s="3"/>
      <c r="E8" s="3"/>
      <c r="F8" s="2"/>
      <c r="G8" s="2"/>
      <c r="I8" s="4"/>
      <c r="J8" s="4"/>
      <c r="K8" s="3"/>
      <c r="L8" s="3"/>
      <c r="M8" s="2"/>
      <c r="N8" s="2"/>
    </row>
    <row r="9" spans="1:14" ht="18" customHeight="1" x14ac:dyDescent="0.25">
      <c r="B9" s="1" t="str">
        <f>IF(COUNTIFS('Log Diário'!$B$2:$B$154,"Rogério Matos",'Log Diário'!$A$2:$A$154,Painel!$B$4,'Log Diário'!$I$2:$I$154,"Reprovado")+COUNTIFS('Log Diário'!$B$2:$B$154,"Rogério Matos",'Log Diário'!$A$2:$A$154,Painel!$B$4,'Log Diário'!$I$2:$I$154,"Pendência")+COUNTIFS('Log Diário'!$B$2:$B$154,"Rogério Matos",'Log Diário'!$A$2:$A$154,Painel!$B$4,'Log Diário'!$I$2:$I$154,"Não finalizado")+COUNTIFS('Log Diário'!$B$2:$B$154,"Rogério Matos",'Log Diário'!$A$2:$A$154,Painel!$B$4,'Log Diário'!$I$2:$I$154,"Reprovado parcial")&gt;0,"⚠️  POSSÍVEL ASSUNTO CHECK-IN — VERIFICAR","✅  Sem pendências hoje")</f>
        <v>✅  Sem pendências hoje</v>
      </c>
      <c r="C9" s="1"/>
      <c r="D9" s="1"/>
      <c r="E9" s="1"/>
      <c r="F9" s="1"/>
      <c r="G9" s="1"/>
      <c r="I9" s="1" t="str">
        <f>IF(COUNTIFS('Log Diário'!$B$2:$B$154,"Marcos Antonio",'Log Diário'!$A$2:$A$154,Painel!$B$4,'Log Diário'!$I$2:$I$154,"Reprovado")+COUNTIFS('Log Diário'!$B$2:$B$154,"Marcos Antonio",'Log Diário'!$A$2:$A$154,Painel!$B$4,'Log Diário'!$I$2:$I$154,"Pendência")+COUNTIFS('Log Diário'!$B$2:$B$154,"Marcos Antonio",'Log Diário'!$A$2:$A$154,Painel!$B$4,'Log Diário'!$I$2:$I$154,"Não finalizado")+COUNTIFS('Log Diário'!$B$2:$B$154,"Marcos Antonio",'Log Diário'!$A$2:$A$154,Painel!$B$4,'Log Diário'!$I$2:$I$154,"Reprovado parcial")&gt;0,"⚠️  POSSÍVEL ASSUNTO CHECK-IN — VERIFICAR","✅  Sem pendências hoje")</f>
        <v>✅  Sem pendências hoje</v>
      </c>
      <c r="J9" s="1"/>
      <c r="K9" s="1"/>
      <c r="L9" s="1"/>
      <c r="M9" s="1"/>
      <c r="N9" s="1"/>
    </row>
    <row r="10" spans="1:14" ht="6" customHeight="1" x14ac:dyDescent="0.25"/>
    <row r="11" spans="1:14" ht="24" customHeight="1" x14ac:dyDescent="0.25">
      <c r="B11" s="86" t="s">
        <v>11</v>
      </c>
      <c r="C11" s="86"/>
      <c r="D11" s="86"/>
      <c r="E11" s="86"/>
      <c r="F11" s="86"/>
      <c r="G11" s="86"/>
      <c r="I11" s="87" t="s">
        <v>12</v>
      </c>
      <c r="J11" s="87"/>
      <c r="K11" s="87"/>
      <c r="L11" s="87"/>
      <c r="M11" s="87"/>
      <c r="N11" s="87"/>
    </row>
    <row r="12" spans="1:14" ht="15" customHeight="1" x14ac:dyDescent="0.25">
      <c r="B12" s="88" t="s">
        <v>13</v>
      </c>
      <c r="C12" s="88"/>
      <c r="D12" s="88"/>
      <c r="E12" s="88"/>
      <c r="F12" s="88"/>
      <c r="G12" s="88"/>
      <c r="I12" s="89" t="s">
        <v>14</v>
      </c>
      <c r="J12" s="89"/>
      <c r="K12" s="89"/>
      <c r="L12" s="89"/>
      <c r="M12" s="89"/>
      <c r="N12" s="89"/>
    </row>
    <row r="13" spans="1:14" ht="15.75" customHeight="1" x14ac:dyDescent="0.25">
      <c r="B13" s="15" t="s">
        <v>8</v>
      </c>
      <c r="D13" s="16" t="s">
        <v>9</v>
      </c>
      <c r="F13" s="17" t="s">
        <v>10</v>
      </c>
      <c r="I13" s="15" t="s">
        <v>8</v>
      </c>
      <c r="K13" s="16" t="s">
        <v>9</v>
      </c>
      <c r="M13" s="17" t="s">
        <v>10</v>
      </c>
    </row>
    <row r="14" spans="1:14" ht="19.5" customHeight="1" x14ac:dyDescent="0.25">
      <c r="B14" s="4">
        <f>COUNTIFS('Log Diário'!$B$2:$B$154,"Rafael Vieira",'Log Diário'!$A$2:$A$154,Painel!$B$4)</f>
        <v>1</v>
      </c>
      <c r="C14" s="4"/>
      <c r="D14" s="3">
        <f>COUNTIFS('Log Diário'!$B$2:$B$154,"Rafael Vieira",'Log Diário'!$A$2:$A$154,Painel!$B$4,'Log Diário'!$I$2:$I$154,"Reprovado")+COUNTIFS('Log Diário'!$B$2:$B$154,"Rafael Vieira",'Log Diário'!$A$2:$A$154,Painel!$B$4,'Log Diário'!$I$2:$I$154,"Pendência")+COUNTIFS('Log Diário'!$B$2:$B$154,"Rafael Vieira",'Log Diário'!$A$2:$A$154,Painel!$B$4,'Log Diário'!$I$2:$I$154,"Não finalizado")+COUNTIFS('Log Diário'!$B$2:$B$154,"Rafael Vieira",'Log Diário'!$A$2:$A$154,Painel!$B$4,'Log Diário'!$I$2:$I$154,"Reprovado parcial")</f>
        <v>0</v>
      </c>
      <c r="E14" s="3"/>
      <c r="F14" s="2">
        <f>COUNTIFS('Log Diário'!$B$2:$B$154,"Rafael Vieira",'Log Diário'!$A$2:$A$154,Painel!$B$4,'Log Diário'!$I$2:$I$154,"Inspecionado OK")+COUNTIFS('Log Diário'!$B$2:$B$154,"Rafael Vieira",'Log Diário'!$A$2:$A$154,Painel!$B$4,'Log Diário'!$I$2:$I$154,"Finalizado")</f>
        <v>0</v>
      </c>
      <c r="G14" s="2"/>
      <c r="I14" s="4">
        <f>COUNTIFS('Log Diário'!$B$2:$B$154,"Edigar Barreto",'Log Diário'!$A$2:$A$154,Painel!$B$4)</f>
        <v>1</v>
      </c>
      <c r="J14" s="4"/>
      <c r="K14" s="3">
        <f>COUNTIFS('Log Diário'!$B$2:$B$154,"Edigar Barreto",'Log Diário'!$A$2:$A$154,Painel!$B$4,'Log Diário'!$I$2:$I$154,"Reprovado")+COUNTIFS('Log Diário'!$B$2:$B$154,"Edigar Barreto",'Log Diário'!$A$2:$A$154,Painel!$B$4,'Log Diário'!$I$2:$I$154,"Pendência")+COUNTIFS('Log Diário'!$B$2:$B$154,"Edigar Barreto",'Log Diário'!$A$2:$A$154,Painel!$B$4,'Log Diário'!$I$2:$I$154,"Não finalizado")+COUNTIFS('Log Diário'!$B$2:$B$154,"Edigar Barreto",'Log Diário'!$A$2:$A$154,Painel!$B$4,'Log Diário'!$I$2:$I$154,"Reprovado parcial")</f>
        <v>0</v>
      </c>
      <c r="L14" s="3"/>
      <c r="M14" s="2">
        <f>COUNTIFS('Log Diário'!$B$2:$B$154,"Edigar Barreto",'Log Diário'!$A$2:$A$154,Painel!$B$4,'Log Diário'!$I$2:$I$154,"Inspecionado OK")+COUNTIFS('Log Diário'!$B$2:$B$154,"Edigar Barreto",'Log Diário'!$A$2:$A$154,Painel!$B$4,'Log Diário'!$I$2:$I$154,"Finalizado")</f>
        <v>0</v>
      </c>
      <c r="N14" s="2"/>
    </row>
    <row r="15" spans="1:14" ht="15.75" customHeight="1" x14ac:dyDescent="0.25">
      <c r="B15" s="4"/>
      <c r="C15" s="4"/>
      <c r="D15" s="3"/>
      <c r="E15" s="3"/>
      <c r="F15" s="2"/>
      <c r="G15" s="2"/>
      <c r="I15" s="4"/>
      <c r="J15" s="4"/>
      <c r="K15" s="3"/>
      <c r="L15" s="3"/>
      <c r="M15" s="2"/>
      <c r="N15" s="2"/>
    </row>
    <row r="16" spans="1:14" ht="18" customHeight="1" x14ac:dyDescent="0.25">
      <c r="B16" s="1" t="str">
        <f>IF(COUNTIFS('Log Diário'!$B$2:$B$154,"Rafael Vieira",'Log Diário'!$A$2:$A$154,Painel!$B$4,'Log Diário'!$I$2:$I$154,"Reprovado")+COUNTIFS('Log Diário'!$B$2:$B$154,"Rafael Vieira",'Log Diário'!$A$2:$A$154,Painel!$B$4,'Log Diário'!$I$2:$I$154,"Pendência")+COUNTIFS('Log Diário'!$B$2:$B$154,"Rafael Vieira",'Log Diário'!$A$2:$A$154,Painel!$B$4,'Log Diário'!$I$2:$I$154,"Não finalizado")+COUNTIFS('Log Diário'!$B$2:$B$154,"Rafael Vieira",'Log Diário'!$A$2:$A$154,Painel!$B$4,'Log Diário'!$I$2:$I$154,"Reprovado parcial")&gt;0,"⚠️  POSSÍVEL ASSUNTO CHECK-IN — VERIFICAR","✅  Sem pendências hoje")</f>
        <v>✅  Sem pendências hoje</v>
      </c>
      <c r="C16" s="1"/>
      <c r="D16" s="1"/>
      <c r="E16" s="1"/>
      <c r="F16" s="1"/>
      <c r="G16" s="1"/>
      <c r="I16" s="1" t="str">
        <f>IF(COUNTIFS('Log Diário'!$B$2:$B$154,"Edigar Barreto",'Log Diário'!$A$2:$A$154,Painel!$B$4,'Log Diário'!$I$2:$I$154,"Reprovado")+COUNTIFS('Log Diário'!$B$2:$B$154,"Edigar Barreto",'Log Diário'!$A$2:$A$154,Painel!$B$4,'Log Diário'!$I$2:$I$154,"Pendência")+COUNTIFS('Log Diário'!$B$2:$B$154,"Edigar Barreto",'Log Diário'!$A$2:$A$154,Painel!$B$4,'Log Diário'!$I$2:$I$154,"Não finalizado")+COUNTIFS('Log Diário'!$B$2:$B$154,"Edigar Barreto",'Log Diário'!$A$2:$A$154,Painel!$B$4,'Log Diário'!$I$2:$I$154,"Reprovado parcial")&gt;0,"⚠️  POSSÍVEL ASSUNTO CHECK-IN — VERIFICAR","✅  Sem pendências hoje")</f>
        <v>✅  Sem pendências hoje</v>
      </c>
      <c r="J16" s="1"/>
      <c r="K16" s="1"/>
      <c r="L16" s="1"/>
      <c r="M16" s="1"/>
      <c r="N16" s="1"/>
    </row>
    <row r="17" spans="2:14" ht="6" customHeight="1" x14ac:dyDescent="0.25"/>
    <row r="18" spans="2:14" ht="24" customHeight="1" x14ac:dyDescent="0.25">
      <c r="B18" s="90" t="s">
        <v>15</v>
      </c>
      <c r="C18" s="90"/>
      <c r="D18" s="90"/>
      <c r="E18" s="90"/>
      <c r="F18" s="90"/>
      <c r="G18" s="90"/>
      <c r="I18" s="91" t="s">
        <v>16</v>
      </c>
      <c r="J18" s="91"/>
      <c r="K18" s="91"/>
      <c r="L18" s="91"/>
      <c r="M18" s="91"/>
      <c r="N18" s="91"/>
    </row>
    <row r="19" spans="2:14" ht="15" customHeight="1" x14ac:dyDescent="0.25">
      <c r="B19" s="92" t="s">
        <v>17</v>
      </c>
      <c r="C19" s="92"/>
      <c r="D19" s="92"/>
      <c r="E19" s="92"/>
      <c r="F19" s="92"/>
      <c r="G19" s="92"/>
      <c r="I19" s="93" t="s">
        <v>14</v>
      </c>
      <c r="J19" s="93"/>
      <c r="K19" s="93"/>
      <c r="L19" s="93"/>
      <c r="M19" s="93"/>
      <c r="N19" s="93"/>
    </row>
    <row r="20" spans="2:14" ht="15.75" customHeight="1" x14ac:dyDescent="0.25">
      <c r="B20" s="15" t="s">
        <v>8</v>
      </c>
      <c r="D20" s="16" t="s">
        <v>9</v>
      </c>
      <c r="F20" s="17" t="s">
        <v>10</v>
      </c>
      <c r="I20" s="15" t="s">
        <v>8</v>
      </c>
      <c r="K20" s="16" t="s">
        <v>9</v>
      </c>
      <c r="M20" s="17" t="s">
        <v>10</v>
      </c>
    </row>
    <row r="21" spans="2:14" ht="19.5" customHeight="1" x14ac:dyDescent="0.25">
      <c r="B21" s="4">
        <f>COUNTIFS('Log Diário'!$B$2:$B$154,"Charles Johnson",'Log Diário'!$A$2:$A$154,Painel!$B$4)</f>
        <v>0</v>
      </c>
      <c r="C21" s="4"/>
      <c r="D21" s="3">
        <f>COUNTIFS('Log Diário'!$B$2:$B$154,"Charles Johnson",'Log Diário'!$A$2:$A$154,Painel!$B$4,'Log Diário'!$I$2:$I$154,"Reprovado")+COUNTIFS('Log Diário'!$B$2:$B$154,"Charles Johnson",'Log Diário'!$A$2:$A$154,Painel!$B$4,'Log Diário'!$I$2:$I$154,"Pendência")+COUNTIFS('Log Diário'!$B$2:$B$154,"Charles Johnson",'Log Diário'!$A$2:$A$154,Painel!$B$4,'Log Diário'!$I$2:$I$154,"Não finalizado")+COUNTIFS('Log Diário'!$B$2:$B$154,"Charles Johnson",'Log Diário'!$A$2:$A$154,Painel!$B$4,'Log Diário'!$I$2:$I$154,"Reprovado parcial")</f>
        <v>0</v>
      </c>
      <c r="E21" s="3"/>
      <c r="F21" s="2">
        <f>COUNTIFS('Log Diário'!$B$2:$B$154,"Charles Johnson",'Log Diário'!$A$2:$A$154,Painel!$B$4,'Log Diário'!$I$2:$I$154,"Inspecionado OK")+COUNTIFS('Log Diário'!$B$2:$B$154,"Charles Johnson",'Log Diário'!$A$2:$A$154,Painel!$B$4,'Log Diário'!$I$2:$I$154,"Finalizado")</f>
        <v>0</v>
      </c>
      <c r="G21" s="2"/>
      <c r="I21" s="4">
        <f>COUNTIFS('Log Diário'!$B$2:$B$154,"Daniel Henrique",'Log Diário'!$A$2:$A$154,Painel!$B$4)</f>
        <v>8</v>
      </c>
      <c r="J21" s="4"/>
      <c r="K21" s="3">
        <f>COUNTIFS('Log Diário'!$B$2:$B$154,"Daniel Henrique",'Log Diário'!$A$2:$A$154,Painel!$B$4,'Log Diário'!$I$2:$I$154,"Reprovado")+COUNTIFS('Log Diário'!$B$2:$B$154,"Daniel Henrique",'Log Diário'!$A$2:$A$154,Painel!$B$4,'Log Diário'!$I$2:$I$154,"Pendência")+COUNTIFS('Log Diário'!$B$2:$B$154,"Daniel Henrique",'Log Diário'!$A$2:$A$154,Painel!$B$4,'Log Diário'!$I$2:$I$154,"Não finalizado")+COUNTIFS('Log Diário'!$B$2:$B$154,"Daniel Henrique",'Log Diário'!$A$2:$A$154,Painel!$B$4,'Log Diário'!$I$2:$I$154,"Reprovado parcial")</f>
        <v>0</v>
      </c>
      <c r="L21" s="3"/>
      <c r="M21" s="2">
        <f>COUNTIFS('Log Diário'!$B$2:$B$154,"Daniel Henrique",'Log Diário'!$A$2:$A$154,Painel!$B$4,'Log Diário'!$I$2:$I$154,"Inspecionado OK")+COUNTIFS('Log Diário'!$B$2:$B$154,"Daniel Henrique",'Log Diário'!$A$2:$A$154,Painel!$B$4,'Log Diário'!$I$2:$I$154,"Finalizado")</f>
        <v>3</v>
      </c>
      <c r="N21" s="2"/>
    </row>
    <row r="22" spans="2:14" ht="15.75" customHeight="1" x14ac:dyDescent="0.25">
      <c r="B22" s="4"/>
      <c r="C22" s="4"/>
      <c r="D22" s="3"/>
      <c r="E22" s="3"/>
      <c r="F22" s="2"/>
      <c r="G22" s="2"/>
      <c r="I22" s="4"/>
      <c r="J22" s="4"/>
      <c r="K22" s="3"/>
      <c r="L22" s="3"/>
      <c r="M22" s="2"/>
      <c r="N22" s="2"/>
    </row>
    <row r="23" spans="2:14" ht="18" customHeight="1" x14ac:dyDescent="0.25">
      <c r="B23" s="1" t="str">
        <f>IF(COUNTIFS('Log Diário'!$B$2:$B$154,"Charles Johnson",'Log Diário'!$A$2:$A$154,Painel!$B$4,'Log Diário'!$I$2:$I$154,"Reprovado")+COUNTIFS('Log Diário'!$B$2:$B$154,"Charles Johnson",'Log Diário'!$A$2:$A$154,Painel!$B$4,'Log Diário'!$I$2:$I$154,"Pendência")+COUNTIFS('Log Diário'!$B$2:$B$154,"Charles Johnson",'Log Diário'!$A$2:$A$154,Painel!$B$4,'Log Diário'!$I$2:$I$154,"Não finalizado")+COUNTIFS('Log Diário'!$B$2:$B$154,"Charles Johnson",'Log Diário'!$A$2:$A$154,Painel!$B$4,'Log Diário'!$I$2:$I$154,"Reprovado parcial")&gt;0,"⚠️  POSSÍVEL ASSUNTO CHECK-IN — VERIFICAR","✅  Sem pendências hoje")</f>
        <v>✅  Sem pendências hoje</v>
      </c>
      <c r="C23" s="1"/>
      <c r="D23" s="1"/>
      <c r="E23" s="1"/>
      <c r="F23" s="1"/>
      <c r="G23" s="1"/>
      <c r="I23" s="1" t="str">
        <f>IF(COUNTIFS('Log Diário'!$B$2:$B$154,"Daniel Henrique",'Log Diário'!$A$2:$A$154,Painel!$B$4,'Log Diário'!$I$2:$I$154,"Reprovado")+COUNTIFS('Log Diário'!$B$2:$B$154,"Daniel Henrique",'Log Diário'!$A$2:$A$154,Painel!$B$4,'Log Diário'!$I$2:$I$154,"Pendência")+COUNTIFS('Log Diário'!$B$2:$B$154,"Daniel Henrique",'Log Diário'!$A$2:$A$154,Painel!$B$4,'Log Diário'!$I$2:$I$154,"Não finalizado")+COUNTIFS('Log Diário'!$B$2:$B$154,"Daniel Henrique",'Log Diário'!$A$2:$A$154,Painel!$B$4,'Log Diário'!$I$2:$I$154,"Reprovado parcial")&gt;0,"⚠️  POSSÍVEL ASSUNTO CHECK-IN — VERIFICAR","✅  Sem pendências hoje")</f>
        <v>✅  Sem pendências hoje</v>
      </c>
      <c r="J23" s="1"/>
      <c r="K23" s="1"/>
      <c r="L23" s="1"/>
      <c r="M23" s="1"/>
      <c r="N23" s="1"/>
    </row>
    <row r="24" spans="2:14" ht="6" customHeight="1" x14ac:dyDescent="0.25"/>
    <row r="25" spans="2:14" ht="24" customHeight="1" x14ac:dyDescent="0.25">
      <c r="B25" s="86" t="s">
        <v>18</v>
      </c>
      <c r="C25" s="86"/>
      <c r="D25" s="86"/>
      <c r="E25" s="86"/>
      <c r="F25" s="86"/>
      <c r="G25" s="86"/>
    </row>
    <row r="26" spans="2:14" ht="15" customHeight="1" x14ac:dyDescent="0.25">
      <c r="B26" s="88" t="s">
        <v>13</v>
      </c>
      <c r="C26" s="88"/>
      <c r="D26" s="88"/>
      <c r="E26" s="88"/>
      <c r="F26" s="88"/>
      <c r="G26" s="88"/>
    </row>
    <row r="27" spans="2:14" ht="15.75" customHeight="1" x14ac:dyDescent="0.25">
      <c r="B27" s="15" t="s">
        <v>8</v>
      </c>
      <c r="D27" s="16" t="s">
        <v>9</v>
      </c>
      <c r="F27" s="17" t="s">
        <v>10</v>
      </c>
    </row>
    <row r="28" spans="2:14" ht="19.5" customHeight="1" x14ac:dyDescent="0.25">
      <c r="B28" s="4">
        <f>COUNTIFS('Log Diário'!$B$2:$B$154,"Renan",'Log Diário'!$A$2:$A$154,Painel!$B$4)</f>
        <v>0</v>
      </c>
      <c r="C28" s="4"/>
      <c r="D28" s="3">
        <f>COUNTIFS('Log Diário'!$B$2:$B$154,"Renan",'Log Diário'!$A$2:$A$154,Painel!$B$4,'Log Diário'!$I$2:$I$154,"Reprovado")+COUNTIFS('Log Diário'!$B$2:$B$154,"Renan",'Log Diário'!$A$2:$A$154,Painel!$B$4,'Log Diário'!$I$2:$I$154,"Pendência")+COUNTIFS('Log Diário'!$B$2:$B$154,"Renan",'Log Diário'!$A$2:$A$154,Painel!$B$4,'Log Diário'!$I$2:$I$154,"Não finalizado")+COUNTIFS('Log Diário'!$B$2:$B$154,"Renan",'Log Diário'!$A$2:$A$154,Painel!$B$4,'Log Diário'!$I$2:$I$154,"Reprovado parcial")</f>
        <v>0</v>
      </c>
      <c r="E28" s="3"/>
      <c r="F28" s="2">
        <f>COUNTIFS('Log Diário'!$B$2:$B$154,"Renan",'Log Diário'!$A$2:$A$154,Painel!$B$4,'Log Diário'!$I$2:$I$154,"Inspecionado OK")+COUNTIFS('Log Diário'!$B$2:$B$154,"Renan",'Log Diário'!$A$2:$A$154,Painel!$B$4,'Log Diário'!$I$2:$I$154,"Finalizado")</f>
        <v>0</v>
      </c>
      <c r="G28" s="2"/>
    </row>
    <row r="29" spans="2:14" ht="15.75" customHeight="1" x14ac:dyDescent="0.25">
      <c r="B29" s="4"/>
      <c r="C29" s="4"/>
      <c r="D29" s="3"/>
      <c r="E29" s="3"/>
      <c r="F29" s="2"/>
      <c r="G29" s="2"/>
    </row>
    <row r="30" spans="2:14" ht="18" customHeight="1" x14ac:dyDescent="0.25">
      <c r="B30" s="1" t="str">
        <f>IF(COUNTIFS('Log Diário'!$B$2:$B$154,"Renan",'Log Diário'!$A$2:$A$154,Painel!$B$4,'Log Diário'!$I$2:$I$154,"Reprovado")+COUNTIFS('Log Diário'!$B$2:$B$154,"Renan",'Log Diário'!$A$2:$A$154,Painel!$B$4,'Log Diário'!$I$2:$I$154,"Pendência")+COUNTIFS('Log Diário'!$B$2:$B$154,"Renan",'Log Diário'!$A$2:$A$154,Painel!$B$4,'Log Diário'!$I$2:$I$154,"Não finalizado")+COUNTIFS('Log Diário'!$B$2:$B$154,"Renan",'Log Diário'!$A$2:$A$154,Painel!$B$4,'Log Diário'!$I$2:$I$154,"Reprovado parcial")&gt;0,"⚠️  POSSÍVEL ASSUNTO CHECK-IN — VERIFICAR","✅  Sem pendências hoje")</f>
        <v>✅  Sem pendências hoje</v>
      </c>
      <c r="C30" s="1"/>
      <c r="D30" s="1"/>
      <c r="E30" s="1"/>
      <c r="F30" s="1"/>
      <c r="G30" s="1"/>
    </row>
    <row r="31" spans="2:14" ht="6" customHeight="1" x14ac:dyDescent="0.25"/>
    <row r="33" spans="1:13" ht="27.75" customHeight="1" x14ac:dyDescent="0.25">
      <c r="A33" s="94" t="str">
        <f>"📋  ATIVIDADES DO DIA — "&amp;TEXT(Painel!$B$4,"DD/MM/YYYY")</f>
        <v>📋  ATIVIDADES DO DIA — 30/06/YYYY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</row>
    <row r="34" spans="1:13" ht="19.5" customHeight="1" x14ac:dyDescent="0.25">
      <c r="A34" s="18"/>
      <c r="B34" s="95" t="s">
        <v>19</v>
      </c>
      <c r="C34" s="95"/>
      <c r="D34" s="18" t="s">
        <v>20</v>
      </c>
      <c r="E34" s="18" t="s">
        <v>21</v>
      </c>
      <c r="F34" s="18" t="s">
        <v>22</v>
      </c>
      <c r="G34" s="95" t="s">
        <v>23</v>
      </c>
      <c r="H34" s="95"/>
      <c r="I34" s="95"/>
      <c r="J34" s="95"/>
      <c r="K34" s="95"/>
      <c r="L34" s="18" t="s">
        <v>24</v>
      </c>
      <c r="M34" s="18" t="s">
        <v>25</v>
      </c>
    </row>
    <row r="35" spans="1:13" ht="27.75" customHeight="1" x14ac:dyDescent="0.25">
      <c r="A35" s="19"/>
      <c r="B35" s="96" t="s">
        <v>26</v>
      </c>
      <c r="C35" s="96"/>
      <c r="D35" s="20" t="s">
        <v>27</v>
      </c>
      <c r="E35" s="21" t="s">
        <v>28</v>
      </c>
      <c r="F35" s="21" t="s">
        <v>29</v>
      </c>
      <c r="G35" s="97" t="s">
        <v>30</v>
      </c>
      <c r="H35" s="97"/>
      <c r="I35" s="97"/>
      <c r="J35" s="97"/>
      <c r="K35" s="97"/>
      <c r="L35" s="22" t="s">
        <v>29</v>
      </c>
      <c r="M35" s="23"/>
    </row>
    <row r="36" spans="1:13" ht="27.75" customHeight="1" x14ac:dyDescent="0.25">
      <c r="A36" s="24"/>
      <c r="B36" s="98" t="s">
        <v>31</v>
      </c>
      <c r="C36" s="98"/>
      <c r="D36" s="25" t="s">
        <v>32</v>
      </c>
      <c r="E36" s="26" t="s">
        <v>33</v>
      </c>
      <c r="F36" s="26" t="s">
        <v>34</v>
      </c>
      <c r="G36" s="99" t="s">
        <v>35</v>
      </c>
      <c r="H36" s="99"/>
      <c r="I36" s="99"/>
      <c r="J36" s="99"/>
      <c r="K36" s="99"/>
      <c r="L36" s="27" t="s">
        <v>36</v>
      </c>
      <c r="M36" s="28"/>
    </row>
    <row r="37" spans="1:13" ht="27.75" customHeight="1" x14ac:dyDescent="0.25">
      <c r="A37" s="19"/>
      <c r="B37" s="96" t="s">
        <v>37</v>
      </c>
      <c r="C37" s="96"/>
      <c r="D37" s="20" t="s">
        <v>38</v>
      </c>
      <c r="E37" s="21" t="s">
        <v>39</v>
      </c>
      <c r="F37" s="21" t="s">
        <v>40</v>
      </c>
      <c r="G37" s="97" t="s">
        <v>41</v>
      </c>
      <c r="H37" s="97"/>
      <c r="I37" s="97"/>
      <c r="J37" s="97"/>
      <c r="K37" s="97"/>
      <c r="L37" s="29" t="s">
        <v>42</v>
      </c>
      <c r="M37" s="23"/>
    </row>
    <row r="38" spans="1:13" ht="27.75" customHeight="1" x14ac:dyDescent="0.25">
      <c r="A38" s="24"/>
      <c r="B38" s="98" t="s">
        <v>37</v>
      </c>
      <c r="C38" s="98"/>
      <c r="D38" s="25" t="s">
        <v>38</v>
      </c>
      <c r="E38" s="26" t="s">
        <v>39</v>
      </c>
      <c r="F38" s="26" t="s">
        <v>40</v>
      </c>
      <c r="G38" s="99" t="s">
        <v>43</v>
      </c>
      <c r="H38" s="99"/>
      <c r="I38" s="99"/>
      <c r="J38" s="99"/>
      <c r="K38" s="99"/>
      <c r="L38" s="27" t="s">
        <v>44</v>
      </c>
      <c r="M38" s="28"/>
    </row>
    <row r="39" spans="1:13" ht="27.75" customHeight="1" x14ac:dyDescent="0.25">
      <c r="A39" s="19"/>
      <c r="B39" s="96" t="s">
        <v>37</v>
      </c>
      <c r="C39" s="96"/>
      <c r="D39" s="20" t="s">
        <v>38</v>
      </c>
      <c r="E39" s="21" t="s">
        <v>39</v>
      </c>
      <c r="F39" s="21" t="s">
        <v>40</v>
      </c>
      <c r="G39" s="97" t="s">
        <v>45</v>
      </c>
      <c r="H39" s="97"/>
      <c r="I39" s="97"/>
      <c r="J39" s="97"/>
      <c r="K39" s="97"/>
      <c r="L39" s="29" t="s">
        <v>42</v>
      </c>
      <c r="M39" s="23"/>
    </row>
    <row r="40" spans="1:13" ht="27.75" customHeight="1" x14ac:dyDescent="0.25">
      <c r="A40" s="24"/>
      <c r="B40" s="98" t="s">
        <v>37</v>
      </c>
      <c r="C40" s="98"/>
      <c r="D40" s="25" t="s">
        <v>38</v>
      </c>
      <c r="E40" s="26" t="s">
        <v>39</v>
      </c>
      <c r="F40" s="26" t="s">
        <v>40</v>
      </c>
      <c r="G40" s="99" t="s">
        <v>46</v>
      </c>
      <c r="H40" s="99"/>
      <c r="I40" s="99"/>
      <c r="J40" s="99"/>
      <c r="K40" s="99"/>
      <c r="L40" s="27" t="s">
        <v>44</v>
      </c>
      <c r="M40" s="28" t="s">
        <v>25</v>
      </c>
    </row>
    <row r="41" spans="1:13" ht="27.75" customHeight="1" x14ac:dyDescent="0.25">
      <c r="A41" s="19"/>
      <c r="B41" s="96" t="s">
        <v>37</v>
      </c>
      <c r="C41" s="96"/>
      <c r="D41" s="20" t="s">
        <v>38</v>
      </c>
      <c r="E41" s="21" t="s">
        <v>39</v>
      </c>
      <c r="F41" s="21" t="s">
        <v>40</v>
      </c>
      <c r="G41" s="97" t="s">
        <v>47</v>
      </c>
      <c r="H41" s="97"/>
      <c r="I41" s="97"/>
      <c r="J41" s="97"/>
      <c r="K41" s="97"/>
      <c r="L41" s="29" t="s">
        <v>42</v>
      </c>
      <c r="M41" s="23"/>
    </row>
    <row r="42" spans="1:13" ht="27.75" customHeight="1" x14ac:dyDescent="0.25">
      <c r="A42" s="24"/>
      <c r="B42" s="98" t="s">
        <v>37</v>
      </c>
      <c r="C42" s="98"/>
      <c r="D42" s="25" t="s">
        <v>48</v>
      </c>
      <c r="E42" s="26" t="s">
        <v>39</v>
      </c>
      <c r="F42" s="26" t="s">
        <v>40</v>
      </c>
      <c r="G42" s="99" t="s">
        <v>49</v>
      </c>
      <c r="H42" s="99"/>
      <c r="I42" s="99"/>
      <c r="J42" s="99"/>
      <c r="K42" s="99"/>
      <c r="L42" s="29" t="s">
        <v>42</v>
      </c>
      <c r="M42" s="28"/>
    </row>
    <row r="43" spans="1:13" ht="27.75" customHeight="1" x14ac:dyDescent="0.25">
      <c r="A43" s="19"/>
      <c r="B43" s="96" t="s">
        <v>37</v>
      </c>
      <c r="C43" s="96"/>
      <c r="D43" s="20" t="s">
        <v>48</v>
      </c>
      <c r="E43" s="21" t="s">
        <v>39</v>
      </c>
      <c r="F43" s="21" t="s">
        <v>40</v>
      </c>
      <c r="G43" s="97" t="s">
        <v>50</v>
      </c>
      <c r="H43" s="97"/>
      <c r="I43" s="97"/>
      <c r="J43" s="97"/>
      <c r="K43" s="97"/>
      <c r="L43" s="29" t="s">
        <v>42</v>
      </c>
      <c r="M43" s="23"/>
    </row>
    <row r="44" spans="1:13" ht="27.75" customHeight="1" x14ac:dyDescent="0.25">
      <c r="A44" s="24"/>
      <c r="B44" s="98" t="s">
        <v>37</v>
      </c>
      <c r="C44" s="98"/>
      <c r="D44" s="25" t="s">
        <v>32</v>
      </c>
      <c r="E44" s="26" t="s">
        <v>39</v>
      </c>
      <c r="F44" s="26" t="s">
        <v>40</v>
      </c>
      <c r="G44" s="99" t="s">
        <v>51</v>
      </c>
      <c r="H44" s="99"/>
      <c r="I44" s="99"/>
      <c r="J44" s="99"/>
      <c r="K44" s="99"/>
      <c r="L44" s="27" t="s">
        <v>44</v>
      </c>
      <c r="M44" s="28"/>
    </row>
    <row r="45" spans="1:13" ht="27.75" customHeight="1" x14ac:dyDescent="0.25">
      <c r="A45" s="19"/>
      <c r="B45" s="96" t="s">
        <v>52</v>
      </c>
      <c r="C45" s="96"/>
      <c r="D45" s="20" t="s">
        <v>53</v>
      </c>
      <c r="E45" s="21" t="s">
        <v>28</v>
      </c>
      <c r="F45" s="21" t="s">
        <v>54</v>
      </c>
      <c r="G45" s="97" t="s">
        <v>55</v>
      </c>
      <c r="H45" s="97"/>
      <c r="I45" s="97"/>
      <c r="J45" s="97"/>
      <c r="K45" s="97"/>
      <c r="L45" s="29" t="s">
        <v>42</v>
      </c>
      <c r="M45" s="23"/>
    </row>
    <row r="46" spans="1:13" ht="27.75" customHeight="1" x14ac:dyDescent="0.25">
      <c r="A46" s="24"/>
      <c r="B46" s="98" t="s">
        <v>52</v>
      </c>
      <c r="C46" s="98"/>
      <c r="D46" s="25" t="s">
        <v>53</v>
      </c>
      <c r="E46" s="26" t="s">
        <v>28</v>
      </c>
      <c r="F46" s="26" t="s">
        <v>54</v>
      </c>
      <c r="G46" s="99" t="s">
        <v>56</v>
      </c>
      <c r="H46" s="99"/>
      <c r="I46" s="99"/>
      <c r="J46" s="99"/>
      <c r="K46" s="99"/>
      <c r="L46" s="29" t="s">
        <v>42</v>
      </c>
      <c r="M46" s="28"/>
    </row>
    <row r="47" spans="1:13" ht="27.75" customHeight="1" x14ac:dyDescent="0.25">
      <c r="A47" s="19"/>
      <c r="B47" s="96" t="s">
        <v>52</v>
      </c>
      <c r="C47" s="96"/>
      <c r="D47" s="20" t="s">
        <v>53</v>
      </c>
      <c r="E47" s="21" t="s">
        <v>57</v>
      </c>
      <c r="F47" s="21" t="s">
        <v>54</v>
      </c>
      <c r="G47" s="97" t="s">
        <v>58</v>
      </c>
      <c r="H47" s="97"/>
      <c r="I47" s="97"/>
      <c r="J47" s="97"/>
      <c r="K47" s="97"/>
      <c r="L47" s="29" t="s">
        <v>42</v>
      </c>
      <c r="M47" s="23"/>
    </row>
    <row r="48" spans="1:13" ht="27.75" customHeight="1" x14ac:dyDescent="0.25">
      <c r="A48" s="24"/>
      <c r="B48" s="98" t="s">
        <v>59</v>
      </c>
      <c r="C48" s="98"/>
      <c r="D48" s="25" t="s">
        <v>60</v>
      </c>
      <c r="E48" s="26" t="s">
        <v>61</v>
      </c>
      <c r="F48" s="26" t="s">
        <v>62</v>
      </c>
      <c r="G48" s="99" t="s">
        <v>63</v>
      </c>
      <c r="H48" s="99"/>
      <c r="I48" s="99"/>
      <c r="J48" s="99"/>
      <c r="K48" s="99"/>
      <c r="L48" s="27" t="s">
        <v>64</v>
      </c>
      <c r="M48" s="28"/>
    </row>
    <row r="49" spans="1:13" ht="27.75" customHeight="1" x14ac:dyDescent="0.25">
      <c r="A49" s="19"/>
      <c r="B49" s="96" t="s">
        <v>59</v>
      </c>
      <c r="C49" s="96"/>
      <c r="D49" s="20" t="s">
        <v>60</v>
      </c>
      <c r="E49" s="21" t="s">
        <v>65</v>
      </c>
      <c r="F49" s="21" t="s">
        <v>66</v>
      </c>
      <c r="G49" s="97" t="s">
        <v>67</v>
      </c>
      <c r="H49" s="97"/>
      <c r="I49" s="97"/>
      <c r="J49" s="97"/>
      <c r="K49" s="97"/>
      <c r="L49" s="29" t="s">
        <v>42</v>
      </c>
      <c r="M49" s="23"/>
    </row>
    <row r="51" spans="1:13" ht="21.75" customHeight="1" x14ac:dyDescent="0.25">
      <c r="A51" s="100" t="s">
        <v>68</v>
      </c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</row>
  </sheetData>
  <mergeCells count="78">
    <mergeCell ref="B49:C49"/>
    <mergeCell ref="G49:K49"/>
    <mergeCell ref="A51:M51"/>
    <mergeCell ref="B46:C46"/>
    <mergeCell ref="G46:K46"/>
    <mergeCell ref="B47:C47"/>
    <mergeCell ref="G47:K47"/>
    <mergeCell ref="B48:C48"/>
    <mergeCell ref="G48:K48"/>
    <mergeCell ref="B43:C43"/>
    <mergeCell ref="G43:K43"/>
    <mergeCell ref="B44:C44"/>
    <mergeCell ref="G44:K44"/>
    <mergeCell ref="B45:C45"/>
    <mergeCell ref="G45:K45"/>
    <mergeCell ref="B40:C40"/>
    <mergeCell ref="G40:K40"/>
    <mergeCell ref="B41:C41"/>
    <mergeCell ref="G41:K41"/>
    <mergeCell ref="B42:C42"/>
    <mergeCell ref="G42:K42"/>
    <mergeCell ref="B37:C37"/>
    <mergeCell ref="G37:K37"/>
    <mergeCell ref="B38:C38"/>
    <mergeCell ref="G38:K38"/>
    <mergeCell ref="B39:C39"/>
    <mergeCell ref="G39:K39"/>
    <mergeCell ref="B34:C34"/>
    <mergeCell ref="G34:K34"/>
    <mergeCell ref="B35:C35"/>
    <mergeCell ref="G35:K35"/>
    <mergeCell ref="B36:C36"/>
    <mergeCell ref="G36:K36"/>
    <mergeCell ref="B28:C29"/>
    <mergeCell ref="D28:E29"/>
    <mergeCell ref="F28:G29"/>
    <mergeCell ref="B30:G30"/>
    <mergeCell ref="A33:M33"/>
    <mergeCell ref="M21:N22"/>
    <mergeCell ref="B23:G23"/>
    <mergeCell ref="I23:N23"/>
    <mergeCell ref="B25:G25"/>
    <mergeCell ref="B26:G26"/>
    <mergeCell ref="B21:C22"/>
    <mergeCell ref="D21:E22"/>
    <mergeCell ref="F21:G22"/>
    <mergeCell ref="I21:J22"/>
    <mergeCell ref="K21:L22"/>
    <mergeCell ref="B16:G16"/>
    <mergeCell ref="I16:N16"/>
    <mergeCell ref="B18:G18"/>
    <mergeCell ref="I18:N18"/>
    <mergeCell ref="B19:G19"/>
    <mergeCell ref="I19:N19"/>
    <mergeCell ref="B12:G12"/>
    <mergeCell ref="I12:N12"/>
    <mergeCell ref="B14:C15"/>
    <mergeCell ref="D14:E15"/>
    <mergeCell ref="F14:G15"/>
    <mergeCell ref="I14:J15"/>
    <mergeCell ref="K14:L15"/>
    <mergeCell ref="M14:N15"/>
    <mergeCell ref="M7:N8"/>
    <mergeCell ref="B9:G9"/>
    <mergeCell ref="I9:N9"/>
    <mergeCell ref="B11:G11"/>
    <mergeCell ref="I11:N11"/>
    <mergeCell ref="B7:C8"/>
    <mergeCell ref="D7:E8"/>
    <mergeCell ref="F7:G8"/>
    <mergeCell ref="I7:J8"/>
    <mergeCell ref="K7:L8"/>
    <mergeCell ref="A1:M1"/>
    <mergeCell ref="A2:M2"/>
    <mergeCell ref="B4:G4"/>
    <mergeCell ref="I4:N4"/>
    <mergeCell ref="B5:G5"/>
    <mergeCell ref="I5:N5"/>
  </mergeCells>
  <pageMargins left="0.75" right="0.75" top="1" bottom="1" header="0.511811023622047" footer="0.511811023622047"/>
  <pageSetup scale="64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COUNTIFS('Log Diário'!$B$2:$B$154,"Rogério Matos",'Log Diário'!$A$2:$A$154,Painel!$B$4,'Log Diário'!$I$2:$I$154,"Reprovado")+COUNTIFS('Log Diário'!$B$2:$B$154,"Rogério Matos",'Log Diário'!$A$2:$A$154,Painel!$B$4,'Log Diário'!$I$2:$I$154,"Pendência")+COUNTIFS('Log Diário'!$B$2:$B$154,"Rogério Matos",'Log Diário'!$A$2:$A$154,Painel!$B$4,'Log Diário'!$I$2:$I$154,"Não finalizado")+COUNTIFS('Log Diário'!$B$2:$B$154,"Rogério Matos",'Log Diário'!$A$2:$A$154,Painel!$B$4,'Log Diário'!$I$2:$I$154,"Reprovado parcial")=0</xm:f>
            <x14:dxf>
              <font>
                <b/>
                <sz val="9"/>
                <color rgb="FF0F6E56"/>
                <name val="Arial"/>
                <charset val="1"/>
              </font>
              <fill>
                <patternFill>
                  <bgColor rgb="FFE2F3EE"/>
                </patternFill>
              </fill>
            </x14:dxf>
          </x14:cfRule>
          <xm:sqref>B9:G9</xm:sqref>
        </x14:conditionalFormatting>
        <x14:conditionalFormatting xmlns:xm="http://schemas.microsoft.com/office/excel/2006/main">
          <x14:cfRule type="expression" priority="4" id="{00000000-000E-0000-0100-000004000000}">
            <xm:f>COUNTIFS('Log Diário'!$B$2:$B$154,"Rafael Vieira",'Log Diário'!$A$2:$A$154,Painel!$B$4,'Log Diário'!$I$2:$I$154,"Reprovado")+COUNTIFS('Log Diário'!$B$2:$B$154,"Rafael Vieira",'Log Diário'!$A$2:$A$154,Painel!$B$4,'Log Diário'!$I$2:$I$154,"Pendência")+COUNTIFS('Log Diário'!$B$2:$B$154,"Rafael Vieira",'Log Diário'!$A$2:$A$154,Painel!$B$4,'Log Diário'!$I$2:$I$154,"Não finalizado")+COUNTIFS('Log Diário'!$B$2:$B$154,"Rafael Vieira",'Log Diário'!$A$2:$A$154,Painel!$B$4,'Log Diário'!$I$2:$I$154,"Reprovado parcial")=0</xm:f>
            <x14:dxf>
              <font>
                <b/>
                <sz val="9"/>
                <color rgb="FF0F6E56"/>
                <name val="Arial"/>
                <charset val="1"/>
              </font>
              <fill>
                <patternFill>
                  <bgColor rgb="FFE2F3EE"/>
                </patternFill>
              </fill>
            </x14:dxf>
          </x14:cfRule>
          <xm:sqref>B16:G16</xm:sqref>
        </x14:conditionalFormatting>
        <x14:conditionalFormatting xmlns:xm="http://schemas.microsoft.com/office/excel/2006/main">
          <x14:cfRule type="expression" priority="6" id="{00000000-000E-0000-0100-000006000000}">
            <xm:f>COUNTIFS('Log Diário'!$B$2:$B$154,"Charles Johnson",'Log Diário'!$A$2:$A$154,Painel!$B$4,'Log Diário'!$I$2:$I$154,"Reprovado")+COUNTIFS('Log Diário'!$B$2:$B$154,"Charles Johnson",'Log Diário'!$A$2:$A$154,Painel!$B$4,'Log Diário'!$I$2:$I$154,"Pendência")+COUNTIFS('Log Diário'!$B$2:$B$154,"Charles Johnson",'Log Diário'!$A$2:$A$154,Painel!$B$4,'Log Diário'!$I$2:$I$154,"Não finalizado")+COUNTIFS('Log Diário'!$B$2:$B$154,"Charles Johnson",'Log Diário'!$A$2:$A$154,Painel!$B$4,'Log Diário'!$I$2:$I$154,"Reprovado parcial")=0</xm:f>
            <x14:dxf>
              <font>
                <b/>
                <sz val="9"/>
                <color rgb="FF0F6E56"/>
                <name val="Arial"/>
                <charset val="1"/>
              </font>
              <fill>
                <patternFill>
                  <bgColor rgb="FFE2F3EE"/>
                </patternFill>
              </fill>
            </x14:dxf>
          </x14:cfRule>
          <xm:sqref>B23:G23</xm:sqref>
        </x14:conditionalFormatting>
        <x14:conditionalFormatting xmlns:xm="http://schemas.microsoft.com/office/excel/2006/main">
          <x14:cfRule type="expression" priority="8" id="{00000000-000E-0000-0100-000008000000}">
            <xm:f>COUNTIFS('Log Diário'!$B$2:$B$154,"Renan",'Log Diário'!$A$2:$A$154,Painel!$B$4,'Log Diário'!$I$2:$I$154,"Reprovado")+COUNTIFS('Log Diário'!$B$2:$B$154,"Renan",'Log Diário'!$A$2:$A$154,Painel!$B$4,'Log Diário'!$I$2:$I$154,"Pendência")+COUNTIFS('Log Diário'!$B$2:$B$154,"Renan",'Log Diário'!$A$2:$A$154,Painel!$B$4,'Log Diário'!$I$2:$I$154,"Não finalizado")+COUNTIFS('Log Diário'!$B$2:$B$154,"Renan",'Log Diário'!$A$2:$A$154,Painel!$B$4,'Log Diário'!$I$2:$I$154,"Reprovado parcial")=0</xm:f>
            <x14:dxf>
              <font>
                <b/>
                <sz val="9"/>
                <color rgb="FF0F6E56"/>
                <name val="Arial"/>
                <charset val="1"/>
              </font>
              <fill>
                <patternFill>
                  <bgColor rgb="FFE2F3EE"/>
                </patternFill>
              </fill>
            </x14:dxf>
          </x14:cfRule>
          <xm:sqref>B30:G30</xm:sqref>
        </x14:conditionalFormatting>
        <x14:conditionalFormatting xmlns:xm="http://schemas.microsoft.com/office/excel/2006/main">
          <x14:cfRule type="expression" priority="3" id="{00000000-000E-0000-0100-000003000000}">
            <xm:f>COUNTIFS('Log Diário'!$B$2:$B$154,"Marcos Antonio",'Log Diário'!$A$2:$A$154,Painel!$B$4,'Log Diário'!$I$2:$I$154,"Reprovado")+COUNTIFS('Log Diário'!$B$2:$B$154,"Marcos Antonio",'Log Diário'!$A$2:$A$154,Painel!$B$4,'Log Diário'!$I$2:$I$154,"Pendência")+COUNTIFS('Log Diário'!$B$2:$B$154,"Marcos Antonio",'Log Diário'!$A$2:$A$154,Painel!$B$4,'Log Diário'!$I$2:$I$154,"Não finalizado")+COUNTIFS('Log Diário'!$B$2:$B$154,"Marcos Antonio",'Log Diário'!$A$2:$A$154,Painel!$B$4,'Log Diário'!$I$2:$I$154,"Reprovado parcial")=0</xm:f>
            <x14:dxf>
              <font>
                <b/>
                <sz val="9"/>
                <color rgb="FF0F6E56"/>
                <name val="Arial"/>
                <charset val="1"/>
              </font>
              <fill>
                <patternFill>
                  <bgColor rgb="FFE2F3EE"/>
                </patternFill>
              </fill>
            </x14:dxf>
          </x14:cfRule>
          <xm:sqref>I9:N9</xm:sqref>
        </x14:conditionalFormatting>
        <x14:conditionalFormatting xmlns:xm="http://schemas.microsoft.com/office/excel/2006/main">
          <x14:cfRule type="expression" priority="5" id="{00000000-000E-0000-0100-000005000000}">
            <xm:f>COUNTIFS('Log Diário'!$B$2:$B$154,"Edigar Barreto",'Log Diário'!$A$2:$A$154,Painel!$B$4,'Log Diário'!$I$2:$I$154,"Reprovado")+COUNTIFS('Log Diário'!$B$2:$B$154,"Edigar Barreto",'Log Diário'!$A$2:$A$154,Painel!$B$4,'Log Diário'!$I$2:$I$154,"Pendência")+COUNTIFS('Log Diário'!$B$2:$B$154,"Edigar Barreto",'Log Diário'!$A$2:$A$154,Painel!$B$4,'Log Diário'!$I$2:$I$154,"Não finalizado")+COUNTIFS('Log Diário'!$B$2:$B$154,"Edigar Barreto",'Log Diário'!$A$2:$A$154,Painel!$B$4,'Log Diário'!$I$2:$I$154,"Reprovado parcial")=0</xm:f>
            <x14:dxf>
              <font>
                <b/>
                <sz val="9"/>
                <color rgb="FF0F6E56"/>
                <name val="Arial"/>
                <charset val="1"/>
              </font>
              <fill>
                <patternFill>
                  <bgColor rgb="FFE2F3EE"/>
                </patternFill>
              </fill>
            </x14:dxf>
          </x14:cfRule>
          <xm:sqref>I16:N16</xm:sqref>
        </x14:conditionalFormatting>
        <x14:conditionalFormatting xmlns:xm="http://schemas.microsoft.com/office/excel/2006/main">
          <x14:cfRule type="expression" priority="7" id="{00000000-000E-0000-0100-000007000000}">
            <xm:f>COUNTIFS('Log Diário'!$B$2:$B$154,"Daniel Henrique",'Log Diário'!$A$2:$A$154,Painel!$B$4,'Log Diário'!$I$2:$I$154,"Reprovado")+COUNTIFS('Log Diário'!$B$2:$B$154,"Daniel Henrique",'Log Diário'!$A$2:$A$154,Painel!$B$4,'Log Diário'!$I$2:$I$154,"Pendência")+COUNTIFS('Log Diário'!$B$2:$B$154,"Daniel Henrique",'Log Diário'!$A$2:$A$154,Painel!$B$4,'Log Diário'!$I$2:$I$154,"Não finalizado")+COUNTIFS('Log Diário'!$B$2:$B$154,"Daniel Henrique",'Log Diário'!$A$2:$A$154,Painel!$B$4,'Log Diário'!$I$2:$I$154,"Reprovado parcial")=0</xm:f>
            <x14:dxf>
              <font>
                <b/>
                <sz val="9"/>
                <color rgb="FF0F6E56"/>
                <name val="Arial"/>
                <charset val="1"/>
              </font>
              <fill>
                <patternFill>
                  <bgColor rgb="FFE2F3EE"/>
                </patternFill>
              </fill>
            </x14:dxf>
          </x14:cfRule>
          <xm:sqref>I23:N23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6" customWidth="1"/>
    <col min="3" max="3" width="8" customWidth="1"/>
    <col min="4" max="4" width="44.28515625" customWidth="1"/>
    <col min="5" max="5" width="18" customWidth="1"/>
    <col min="6" max="6" width="42" customWidth="1"/>
    <col min="7" max="8" width="6" customWidth="1"/>
    <col min="9" max="9" width="16" customWidth="1"/>
    <col min="10" max="10" width="10" customWidth="1"/>
    <col min="11" max="11" width="44" customWidth="1"/>
  </cols>
  <sheetData>
    <row r="1" spans="1:11" ht="21.75" customHeight="1" x14ac:dyDescent="0.25">
      <c r="A1" s="30" t="s">
        <v>69</v>
      </c>
      <c r="B1" s="30" t="s">
        <v>19</v>
      </c>
      <c r="C1" s="30" t="s">
        <v>20</v>
      </c>
      <c r="D1" s="30" t="s">
        <v>21</v>
      </c>
      <c r="E1" s="30" t="s">
        <v>22</v>
      </c>
      <c r="F1" s="30" t="s">
        <v>23</v>
      </c>
      <c r="G1" s="30" t="s">
        <v>70</v>
      </c>
      <c r="H1" s="30" t="s">
        <v>71</v>
      </c>
      <c r="I1" s="30" t="s">
        <v>24</v>
      </c>
      <c r="J1" s="31" t="s">
        <v>72</v>
      </c>
      <c r="K1" s="30" t="s">
        <v>73</v>
      </c>
    </row>
    <row r="2" spans="1:11" ht="30" customHeight="1" x14ac:dyDescent="0.25">
      <c r="A2" s="32">
        <v>46188</v>
      </c>
      <c r="B2" s="33" t="s">
        <v>52</v>
      </c>
      <c r="C2" s="34" t="s">
        <v>53</v>
      </c>
      <c r="D2" s="35" t="s">
        <v>74</v>
      </c>
      <c r="E2" s="36" t="s">
        <v>75</v>
      </c>
      <c r="F2" s="37" t="s">
        <v>76</v>
      </c>
      <c r="G2" s="35" t="s">
        <v>77</v>
      </c>
      <c r="H2" s="35" t="s">
        <v>77</v>
      </c>
      <c r="I2" s="38" t="s">
        <v>42</v>
      </c>
      <c r="J2" s="39"/>
      <c r="K2" s="40" t="s">
        <v>78</v>
      </c>
    </row>
    <row r="3" spans="1:11" ht="30" customHeight="1" x14ac:dyDescent="0.25">
      <c r="A3" s="41">
        <v>46188</v>
      </c>
      <c r="B3" s="42" t="s">
        <v>52</v>
      </c>
      <c r="C3" s="34" t="s">
        <v>53</v>
      </c>
      <c r="D3" s="43" t="s">
        <v>74</v>
      </c>
      <c r="E3" s="44" t="s">
        <v>79</v>
      </c>
      <c r="F3" s="45" t="s">
        <v>80</v>
      </c>
      <c r="G3" s="43" t="s">
        <v>77</v>
      </c>
      <c r="H3" s="43" t="s">
        <v>77</v>
      </c>
      <c r="I3" s="38" t="s">
        <v>42</v>
      </c>
      <c r="J3" s="46"/>
      <c r="K3" s="47" t="s">
        <v>78</v>
      </c>
    </row>
    <row r="4" spans="1:11" ht="30" customHeight="1" x14ac:dyDescent="0.25">
      <c r="A4" s="32">
        <v>46188</v>
      </c>
      <c r="B4" s="33" t="s">
        <v>52</v>
      </c>
      <c r="C4" s="34" t="s">
        <v>53</v>
      </c>
      <c r="D4" s="35" t="s">
        <v>81</v>
      </c>
      <c r="E4" s="36" t="s">
        <v>82</v>
      </c>
      <c r="F4" s="37" t="s">
        <v>83</v>
      </c>
      <c r="G4" s="35" t="s">
        <v>77</v>
      </c>
      <c r="H4" s="35" t="s">
        <v>77</v>
      </c>
      <c r="I4" s="38" t="s">
        <v>42</v>
      </c>
      <c r="J4" s="39"/>
      <c r="K4" s="40" t="s">
        <v>78</v>
      </c>
    </row>
    <row r="5" spans="1:11" ht="30" customHeight="1" x14ac:dyDescent="0.25">
      <c r="A5" s="41">
        <v>46188</v>
      </c>
      <c r="B5" s="42" t="s">
        <v>31</v>
      </c>
      <c r="C5" s="48" t="s">
        <v>32</v>
      </c>
      <c r="D5" s="43" t="s">
        <v>84</v>
      </c>
      <c r="E5" s="44" t="s">
        <v>77</v>
      </c>
      <c r="F5" s="45" t="s">
        <v>85</v>
      </c>
      <c r="G5" s="43" t="s">
        <v>77</v>
      </c>
      <c r="H5" s="43" t="s">
        <v>77</v>
      </c>
      <c r="I5" s="49" t="s">
        <v>86</v>
      </c>
      <c r="J5" s="46"/>
      <c r="K5" s="47" t="s">
        <v>78</v>
      </c>
    </row>
    <row r="6" spans="1:11" ht="30" customHeight="1" x14ac:dyDescent="0.25">
      <c r="A6" s="32">
        <v>46188</v>
      </c>
      <c r="B6" s="33" t="s">
        <v>26</v>
      </c>
      <c r="C6" s="50" t="s">
        <v>48</v>
      </c>
      <c r="D6" s="35" t="s">
        <v>87</v>
      </c>
      <c r="E6" s="36" t="s">
        <v>88</v>
      </c>
      <c r="F6" s="37" t="s">
        <v>89</v>
      </c>
      <c r="G6" s="35" t="s">
        <v>90</v>
      </c>
      <c r="H6" s="35" t="s">
        <v>91</v>
      </c>
      <c r="I6" s="49" t="s">
        <v>86</v>
      </c>
      <c r="J6" s="39"/>
      <c r="K6" s="40"/>
    </row>
    <row r="7" spans="1:11" ht="30" customHeight="1" x14ac:dyDescent="0.25">
      <c r="A7" s="41">
        <v>46188</v>
      </c>
      <c r="B7" s="42" t="s">
        <v>26</v>
      </c>
      <c r="C7" s="48" t="s">
        <v>32</v>
      </c>
      <c r="D7" s="43" t="s">
        <v>92</v>
      </c>
      <c r="E7" s="44" t="s">
        <v>93</v>
      </c>
      <c r="F7" s="45" t="s">
        <v>94</v>
      </c>
      <c r="G7" s="43" t="s">
        <v>77</v>
      </c>
      <c r="H7" s="43" t="s">
        <v>77</v>
      </c>
      <c r="I7" s="49" t="s">
        <v>86</v>
      </c>
      <c r="J7" s="46"/>
      <c r="K7" s="47" t="s">
        <v>78</v>
      </c>
    </row>
    <row r="8" spans="1:11" ht="30" customHeight="1" x14ac:dyDescent="0.25">
      <c r="A8" s="32">
        <v>46188</v>
      </c>
      <c r="B8" s="33" t="s">
        <v>26</v>
      </c>
      <c r="C8" s="51" t="s">
        <v>38</v>
      </c>
      <c r="D8" s="35" t="s">
        <v>95</v>
      </c>
      <c r="E8" s="36" t="s">
        <v>77</v>
      </c>
      <c r="F8" s="37" t="s">
        <v>96</v>
      </c>
      <c r="G8" s="35" t="s">
        <v>77</v>
      </c>
      <c r="H8" s="35" t="s">
        <v>77</v>
      </c>
      <c r="I8" s="49" t="s">
        <v>86</v>
      </c>
      <c r="J8" s="39"/>
      <c r="K8" s="40" t="s">
        <v>78</v>
      </c>
    </row>
    <row r="9" spans="1:11" ht="30" customHeight="1" x14ac:dyDescent="0.25">
      <c r="A9" s="41">
        <v>46188</v>
      </c>
      <c r="B9" s="42" t="s">
        <v>26</v>
      </c>
      <c r="C9" s="52" t="s">
        <v>27</v>
      </c>
      <c r="D9" s="43" t="s">
        <v>77</v>
      </c>
      <c r="E9" s="44" t="s">
        <v>77</v>
      </c>
      <c r="F9" s="45" t="s">
        <v>97</v>
      </c>
      <c r="G9" s="43" t="s">
        <v>77</v>
      </c>
      <c r="H9" s="43" t="s">
        <v>77</v>
      </c>
      <c r="I9" s="49" t="s">
        <v>86</v>
      </c>
      <c r="J9" s="46"/>
      <c r="K9" s="47" t="s">
        <v>78</v>
      </c>
    </row>
    <row r="10" spans="1:11" ht="30" customHeight="1" x14ac:dyDescent="0.25">
      <c r="A10" s="32">
        <v>46188</v>
      </c>
      <c r="B10" s="33" t="s">
        <v>37</v>
      </c>
      <c r="C10" s="51" t="s">
        <v>38</v>
      </c>
      <c r="D10" s="35" t="s">
        <v>39</v>
      </c>
      <c r="E10" s="36" t="s">
        <v>77</v>
      </c>
      <c r="F10" s="37" t="s">
        <v>98</v>
      </c>
      <c r="G10" s="35" t="s">
        <v>77</v>
      </c>
      <c r="H10" s="35" t="s">
        <v>77</v>
      </c>
      <c r="I10" s="49" t="s">
        <v>86</v>
      </c>
      <c r="J10" s="39"/>
      <c r="K10" s="40"/>
    </row>
    <row r="11" spans="1:11" ht="30" customHeight="1" x14ac:dyDescent="0.25">
      <c r="A11" s="41">
        <v>46188</v>
      </c>
      <c r="B11" s="42" t="s">
        <v>37</v>
      </c>
      <c r="C11" s="51" t="s">
        <v>38</v>
      </c>
      <c r="D11" s="43" t="s">
        <v>39</v>
      </c>
      <c r="E11" s="44" t="s">
        <v>77</v>
      </c>
      <c r="F11" s="45" t="s">
        <v>99</v>
      </c>
      <c r="G11" s="43" t="s">
        <v>77</v>
      </c>
      <c r="H11" s="43" t="s">
        <v>77</v>
      </c>
      <c r="I11" s="49" t="s">
        <v>86</v>
      </c>
      <c r="J11" s="46"/>
      <c r="K11" s="47"/>
    </row>
    <row r="12" spans="1:11" ht="30" customHeight="1" x14ac:dyDescent="0.25">
      <c r="A12" s="32">
        <v>46188</v>
      </c>
      <c r="B12" s="33" t="s">
        <v>37</v>
      </c>
      <c r="C12" s="51" t="s">
        <v>38</v>
      </c>
      <c r="D12" s="35" t="s">
        <v>39</v>
      </c>
      <c r="E12" s="36" t="s">
        <v>77</v>
      </c>
      <c r="F12" s="37" t="s">
        <v>100</v>
      </c>
      <c r="G12" s="35" t="s">
        <v>77</v>
      </c>
      <c r="H12" s="35" t="s">
        <v>77</v>
      </c>
      <c r="I12" s="49" t="s">
        <v>86</v>
      </c>
      <c r="J12" s="39"/>
      <c r="K12" s="40"/>
    </row>
    <row r="13" spans="1:11" ht="31.5" customHeight="1" x14ac:dyDescent="0.25">
      <c r="A13" s="41">
        <v>46188</v>
      </c>
      <c r="B13" s="42" t="s">
        <v>101</v>
      </c>
      <c r="C13" s="48" t="s">
        <v>60</v>
      </c>
      <c r="D13" s="43" t="s">
        <v>77</v>
      </c>
      <c r="E13" s="44" t="s">
        <v>62</v>
      </c>
      <c r="F13" s="45" t="s">
        <v>102</v>
      </c>
      <c r="G13" s="43" t="s">
        <v>77</v>
      </c>
      <c r="H13" s="43" t="s">
        <v>77</v>
      </c>
      <c r="I13" s="53" t="s">
        <v>44</v>
      </c>
      <c r="J13" s="46"/>
      <c r="K13" s="47" t="s">
        <v>103</v>
      </c>
    </row>
    <row r="14" spans="1:11" ht="30" customHeight="1" x14ac:dyDescent="0.25">
      <c r="A14" s="32">
        <v>46189</v>
      </c>
      <c r="B14" s="33" t="s">
        <v>26</v>
      </c>
      <c r="C14" s="50" t="s">
        <v>48</v>
      </c>
      <c r="D14" s="35" t="s">
        <v>87</v>
      </c>
      <c r="E14" s="36" t="s">
        <v>88</v>
      </c>
      <c r="F14" s="37" t="s">
        <v>104</v>
      </c>
      <c r="G14" s="35" t="s">
        <v>90</v>
      </c>
      <c r="H14" s="35" t="s">
        <v>91</v>
      </c>
      <c r="I14" s="53" t="s">
        <v>44</v>
      </c>
      <c r="J14" s="39"/>
      <c r="K14" s="40"/>
    </row>
    <row r="15" spans="1:11" ht="24" customHeight="1" x14ac:dyDescent="0.25">
      <c r="A15" s="41">
        <v>46189</v>
      </c>
      <c r="B15" s="42" t="s">
        <v>52</v>
      </c>
      <c r="C15" s="34" t="s">
        <v>53</v>
      </c>
      <c r="D15" s="43" t="s">
        <v>74</v>
      </c>
      <c r="E15" s="44" t="s">
        <v>82</v>
      </c>
      <c r="F15" s="45" t="s">
        <v>105</v>
      </c>
      <c r="G15" s="43" t="s">
        <v>106</v>
      </c>
      <c r="H15" s="43" t="s">
        <v>77</v>
      </c>
      <c r="I15" s="38" t="s">
        <v>42</v>
      </c>
      <c r="J15" s="46"/>
      <c r="K15" s="47"/>
    </row>
    <row r="16" spans="1:11" ht="30" customHeight="1" x14ac:dyDescent="0.25">
      <c r="A16" s="32">
        <v>46189</v>
      </c>
      <c r="B16" s="33" t="s">
        <v>107</v>
      </c>
      <c r="C16" s="48" t="s">
        <v>32</v>
      </c>
      <c r="D16" s="35" t="s">
        <v>108</v>
      </c>
      <c r="E16" s="36" t="s">
        <v>109</v>
      </c>
      <c r="F16" s="37" t="s">
        <v>110</v>
      </c>
      <c r="G16" s="35" t="s">
        <v>77</v>
      </c>
      <c r="H16" s="35" t="s">
        <v>77</v>
      </c>
      <c r="I16" s="49" t="s">
        <v>86</v>
      </c>
      <c r="J16" s="39"/>
      <c r="K16" s="40" t="s">
        <v>111</v>
      </c>
    </row>
    <row r="17" spans="1:11" ht="30" customHeight="1" x14ac:dyDescent="0.25">
      <c r="A17" s="41">
        <v>46189</v>
      </c>
      <c r="B17" s="42" t="s">
        <v>107</v>
      </c>
      <c r="C17" s="48" t="s">
        <v>32</v>
      </c>
      <c r="D17" s="43" t="s">
        <v>108</v>
      </c>
      <c r="E17" s="44" t="s">
        <v>109</v>
      </c>
      <c r="F17" s="45" t="s">
        <v>112</v>
      </c>
      <c r="G17" s="43" t="s">
        <v>77</v>
      </c>
      <c r="H17" s="43" t="s">
        <v>77</v>
      </c>
      <c r="I17" s="49" t="s">
        <v>86</v>
      </c>
      <c r="J17" s="46"/>
      <c r="K17" s="47" t="s">
        <v>111</v>
      </c>
    </row>
    <row r="18" spans="1:11" ht="30" customHeight="1" x14ac:dyDescent="0.25">
      <c r="A18" s="32">
        <v>46189</v>
      </c>
      <c r="B18" s="33" t="s">
        <v>107</v>
      </c>
      <c r="C18" s="48" t="s">
        <v>32</v>
      </c>
      <c r="D18" s="35" t="s">
        <v>84</v>
      </c>
      <c r="E18" s="36" t="s">
        <v>109</v>
      </c>
      <c r="F18" s="37" t="s">
        <v>113</v>
      </c>
      <c r="G18" s="35" t="s">
        <v>77</v>
      </c>
      <c r="H18" s="35" t="s">
        <v>77</v>
      </c>
      <c r="I18" s="49" t="s">
        <v>86</v>
      </c>
      <c r="J18" s="39"/>
      <c r="K18" s="40" t="s">
        <v>111</v>
      </c>
    </row>
    <row r="19" spans="1:11" ht="31.5" customHeight="1" x14ac:dyDescent="0.25">
      <c r="A19" s="41">
        <v>46189</v>
      </c>
      <c r="B19" s="42" t="s">
        <v>52</v>
      </c>
      <c r="C19" s="34" t="s">
        <v>53</v>
      </c>
      <c r="D19" s="43" t="s">
        <v>74</v>
      </c>
      <c r="E19" s="44" t="s">
        <v>54</v>
      </c>
      <c r="F19" s="45" t="s">
        <v>114</v>
      </c>
      <c r="G19" s="43" t="s">
        <v>77</v>
      </c>
      <c r="H19" s="43" t="s">
        <v>77</v>
      </c>
      <c r="I19" s="38" t="s">
        <v>42</v>
      </c>
      <c r="J19" s="46"/>
      <c r="K19" s="47"/>
    </row>
    <row r="20" spans="1:11" ht="31.5" customHeight="1" x14ac:dyDescent="0.25">
      <c r="A20" s="32">
        <v>46189</v>
      </c>
      <c r="B20" s="33" t="s">
        <v>52</v>
      </c>
      <c r="C20" s="34" t="s">
        <v>53</v>
      </c>
      <c r="D20" s="35" t="s">
        <v>74</v>
      </c>
      <c r="E20" s="36" t="s">
        <v>54</v>
      </c>
      <c r="F20" s="37" t="s">
        <v>56</v>
      </c>
      <c r="G20" s="35" t="s">
        <v>77</v>
      </c>
      <c r="H20" s="35" t="s">
        <v>77</v>
      </c>
      <c r="I20" s="38" t="s">
        <v>42</v>
      </c>
      <c r="J20" s="39"/>
      <c r="K20" s="40"/>
    </row>
    <row r="21" spans="1:11" ht="31.5" customHeight="1" x14ac:dyDescent="0.25">
      <c r="A21" s="41">
        <v>46189</v>
      </c>
      <c r="B21" s="42" t="s">
        <v>52</v>
      </c>
      <c r="C21" s="34" t="s">
        <v>53</v>
      </c>
      <c r="D21" s="43" t="s">
        <v>115</v>
      </c>
      <c r="E21" s="44" t="s">
        <v>54</v>
      </c>
      <c r="F21" s="45" t="s">
        <v>116</v>
      </c>
      <c r="G21" s="43" t="s">
        <v>77</v>
      </c>
      <c r="H21" s="43" t="s">
        <v>77</v>
      </c>
      <c r="I21" s="38" t="s">
        <v>42</v>
      </c>
      <c r="J21" s="46"/>
      <c r="K21" s="47"/>
    </row>
    <row r="22" spans="1:11" ht="31.5" customHeight="1" x14ac:dyDescent="0.25">
      <c r="A22" s="32">
        <v>46189</v>
      </c>
      <c r="B22" s="33" t="s">
        <v>31</v>
      </c>
      <c r="C22" s="48" t="s">
        <v>32</v>
      </c>
      <c r="D22" s="35" t="s">
        <v>84</v>
      </c>
      <c r="E22" s="36" t="s">
        <v>77</v>
      </c>
      <c r="F22" s="37" t="s">
        <v>117</v>
      </c>
      <c r="G22" s="35" t="s">
        <v>77</v>
      </c>
      <c r="H22" s="35" t="s">
        <v>77</v>
      </c>
      <c r="I22" s="49" t="s">
        <v>86</v>
      </c>
      <c r="J22" s="39"/>
      <c r="K22" s="40"/>
    </row>
    <row r="23" spans="1:11" ht="31.5" customHeight="1" x14ac:dyDescent="0.25">
      <c r="A23" s="41">
        <v>46189</v>
      </c>
      <c r="B23" s="42" t="s">
        <v>31</v>
      </c>
      <c r="C23" s="48" t="s">
        <v>32</v>
      </c>
      <c r="D23" s="43" t="s">
        <v>87</v>
      </c>
      <c r="E23" s="44" t="s">
        <v>77</v>
      </c>
      <c r="F23" s="45" t="s">
        <v>118</v>
      </c>
      <c r="G23" s="43" t="s">
        <v>77</v>
      </c>
      <c r="H23" s="43" t="s">
        <v>77</v>
      </c>
      <c r="I23" s="49" t="s">
        <v>86</v>
      </c>
      <c r="J23" s="46"/>
      <c r="K23" s="47"/>
    </row>
    <row r="24" spans="1:11" ht="31.5" customHeight="1" x14ac:dyDescent="0.25">
      <c r="A24" s="32">
        <v>46189</v>
      </c>
      <c r="B24" s="33" t="s">
        <v>37</v>
      </c>
      <c r="C24" s="51" t="s">
        <v>38</v>
      </c>
      <c r="D24" s="35" t="s">
        <v>119</v>
      </c>
      <c r="E24" s="36" t="s">
        <v>40</v>
      </c>
      <c r="F24" s="37" t="s">
        <v>120</v>
      </c>
      <c r="G24" s="35" t="s">
        <v>77</v>
      </c>
      <c r="H24" s="35" t="s">
        <v>77</v>
      </c>
      <c r="I24" s="54" t="s">
        <v>121</v>
      </c>
      <c r="J24" s="55" t="s">
        <v>25</v>
      </c>
      <c r="K24" s="56" t="s">
        <v>122</v>
      </c>
    </row>
    <row r="25" spans="1:11" ht="31.5" customHeight="1" x14ac:dyDescent="0.25">
      <c r="A25" s="41">
        <v>46189</v>
      </c>
      <c r="B25" s="42" t="s">
        <v>26</v>
      </c>
      <c r="C25" s="51" t="s">
        <v>123</v>
      </c>
      <c r="D25" s="43" t="s">
        <v>77</v>
      </c>
      <c r="E25" s="44" t="s">
        <v>77</v>
      </c>
      <c r="F25" s="45" t="s">
        <v>124</v>
      </c>
      <c r="G25" s="43" t="s">
        <v>77</v>
      </c>
      <c r="H25" s="43" t="s">
        <v>77</v>
      </c>
      <c r="I25" s="38" t="s">
        <v>42</v>
      </c>
      <c r="J25" s="46"/>
      <c r="K25" s="47"/>
    </row>
    <row r="26" spans="1:11" ht="31.5" customHeight="1" x14ac:dyDescent="0.25">
      <c r="A26" s="32">
        <v>46189</v>
      </c>
      <c r="B26" s="33" t="s">
        <v>59</v>
      </c>
      <c r="C26" s="48" t="s">
        <v>60</v>
      </c>
      <c r="D26" s="35" t="s">
        <v>61</v>
      </c>
      <c r="E26" s="36" t="s">
        <v>125</v>
      </c>
      <c r="F26" s="37" t="s">
        <v>126</v>
      </c>
      <c r="G26" s="35" t="s">
        <v>77</v>
      </c>
      <c r="H26" s="35" t="s">
        <v>77</v>
      </c>
      <c r="I26" s="53" t="s">
        <v>127</v>
      </c>
      <c r="J26" s="39"/>
      <c r="K26" s="40"/>
    </row>
    <row r="27" spans="1:11" ht="31.5" customHeight="1" x14ac:dyDescent="0.25">
      <c r="A27" s="41">
        <v>46189</v>
      </c>
      <c r="B27" s="42" t="s">
        <v>59</v>
      </c>
      <c r="C27" s="48" t="s">
        <v>60</v>
      </c>
      <c r="D27" s="43" t="s">
        <v>65</v>
      </c>
      <c r="E27" s="44" t="s">
        <v>66</v>
      </c>
      <c r="F27" s="45" t="s">
        <v>128</v>
      </c>
      <c r="G27" s="43" t="s">
        <v>77</v>
      </c>
      <c r="H27" s="43" t="s">
        <v>77</v>
      </c>
      <c r="I27" s="53" t="s">
        <v>127</v>
      </c>
      <c r="J27" s="46"/>
      <c r="K27" s="47"/>
    </row>
    <row r="28" spans="1:11" ht="31.5" customHeight="1" x14ac:dyDescent="0.25">
      <c r="A28" s="32">
        <v>46189</v>
      </c>
      <c r="B28" s="33" t="s">
        <v>101</v>
      </c>
      <c r="C28" s="48" t="s">
        <v>60</v>
      </c>
      <c r="D28" s="35" t="s">
        <v>77</v>
      </c>
      <c r="E28" s="36" t="s">
        <v>62</v>
      </c>
      <c r="F28" s="37" t="s">
        <v>129</v>
      </c>
      <c r="G28" s="35" t="s">
        <v>77</v>
      </c>
      <c r="H28" s="35" t="s">
        <v>77</v>
      </c>
      <c r="I28" s="53" t="s">
        <v>44</v>
      </c>
      <c r="J28" s="39"/>
      <c r="K28" s="40" t="s">
        <v>130</v>
      </c>
    </row>
    <row r="29" spans="1:11" ht="31.5" customHeight="1" x14ac:dyDescent="0.25">
      <c r="A29" s="41">
        <v>46189</v>
      </c>
      <c r="B29" s="42" t="s">
        <v>101</v>
      </c>
      <c r="C29" s="50" t="s">
        <v>48</v>
      </c>
      <c r="D29" s="43" t="s">
        <v>131</v>
      </c>
      <c r="E29" s="44" t="s">
        <v>77</v>
      </c>
      <c r="F29" s="45" t="s">
        <v>132</v>
      </c>
      <c r="G29" s="43" t="s">
        <v>77</v>
      </c>
      <c r="H29" s="43" t="s">
        <v>77</v>
      </c>
      <c r="I29" s="38" t="s">
        <v>42</v>
      </c>
      <c r="J29" s="46"/>
      <c r="K29" s="47"/>
    </row>
    <row r="30" spans="1:11" ht="31.5" customHeight="1" x14ac:dyDescent="0.25">
      <c r="A30" s="32">
        <v>46189</v>
      </c>
      <c r="B30" s="33" t="s">
        <v>107</v>
      </c>
      <c r="C30" s="48" t="s">
        <v>32</v>
      </c>
      <c r="D30" s="35" t="s">
        <v>84</v>
      </c>
      <c r="E30" s="36" t="s">
        <v>109</v>
      </c>
      <c r="F30" s="37" t="s">
        <v>133</v>
      </c>
      <c r="G30" s="35" t="s">
        <v>77</v>
      </c>
      <c r="H30" s="35" t="s">
        <v>77</v>
      </c>
      <c r="I30" s="49" t="s">
        <v>86</v>
      </c>
      <c r="J30" s="39"/>
      <c r="K30" s="40"/>
    </row>
    <row r="31" spans="1:11" ht="31.5" customHeight="1" x14ac:dyDescent="0.25">
      <c r="A31" s="41">
        <v>46189</v>
      </c>
      <c r="B31" s="42" t="s">
        <v>107</v>
      </c>
      <c r="C31" s="48" t="s">
        <v>32</v>
      </c>
      <c r="D31" s="43" t="s">
        <v>87</v>
      </c>
      <c r="E31" s="44" t="s">
        <v>109</v>
      </c>
      <c r="F31" s="45" t="s">
        <v>133</v>
      </c>
      <c r="G31" s="43" t="s">
        <v>77</v>
      </c>
      <c r="H31" s="43" t="s">
        <v>77</v>
      </c>
      <c r="I31" s="49" t="s">
        <v>86</v>
      </c>
      <c r="J31" s="46"/>
      <c r="K31" s="47"/>
    </row>
    <row r="32" spans="1:11" ht="31.5" customHeight="1" x14ac:dyDescent="0.25">
      <c r="A32" s="32">
        <v>46190</v>
      </c>
      <c r="B32" s="33" t="s">
        <v>52</v>
      </c>
      <c r="C32" s="34" t="s">
        <v>53</v>
      </c>
      <c r="D32" s="35" t="s">
        <v>74</v>
      </c>
      <c r="E32" s="36" t="s">
        <v>54</v>
      </c>
      <c r="F32" s="37" t="s">
        <v>55</v>
      </c>
      <c r="G32" s="35" t="s">
        <v>77</v>
      </c>
      <c r="H32" s="35" t="s">
        <v>77</v>
      </c>
      <c r="I32" s="38" t="s">
        <v>42</v>
      </c>
      <c r="J32" s="39"/>
      <c r="K32" s="40"/>
    </row>
    <row r="33" spans="1:11" ht="31.5" customHeight="1" x14ac:dyDescent="0.25">
      <c r="A33" s="41">
        <v>46190</v>
      </c>
      <c r="B33" s="42" t="s">
        <v>52</v>
      </c>
      <c r="C33" s="34" t="s">
        <v>53</v>
      </c>
      <c r="D33" s="43" t="s">
        <v>74</v>
      </c>
      <c r="E33" s="44" t="s">
        <v>54</v>
      </c>
      <c r="F33" s="45" t="s">
        <v>56</v>
      </c>
      <c r="G33" s="43" t="s">
        <v>77</v>
      </c>
      <c r="H33" s="43" t="s">
        <v>77</v>
      </c>
      <c r="I33" s="38" t="s">
        <v>42</v>
      </c>
      <c r="J33" s="46"/>
      <c r="K33" s="47"/>
    </row>
    <row r="34" spans="1:11" ht="31.5" customHeight="1" x14ac:dyDescent="0.25">
      <c r="A34" s="32">
        <v>46190</v>
      </c>
      <c r="B34" s="33" t="s">
        <v>52</v>
      </c>
      <c r="C34" s="34" t="s">
        <v>53</v>
      </c>
      <c r="D34" s="35" t="s">
        <v>115</v>
      </c>
      <c r="E34" s="36" t="s">
        <v>54</v>
      </c>
      <c r="F34" s="37" t="s">
        <v>116</v>
      </c>
      <c r="G34" s="35" t="s">
        <v>77</v>
      </c>
      <c r="H34" s="35" t="s">
        <v>77</v>
      </c>
      <c r="I34" s="38" t="s">
        <v>42</v>
      </c>
      <c r="J34" s="39"/>
      <c r="K34" s="40"/>
    </row>
    <row r="35" spans="1:11" ht="31.5" customHeight="1" x14ac:dyDescent="0.25">
      <c r="A35" s="41">
        <v>46190</v>
      </c>
      <c r="B35" s="42" t="s">
        <v>26</v>
      </c>
      <c r="C35" s="51" t="s">
        <v>123</v>
      </c>
      <c r="D35" s="43" t="s">
        <v>87</v>
      </c>
      <c r="E35" s="44" t="s">
        <v>34</v>
      </c>
      <c r="F35" s="45" t="s">
        <v>124</v>
      </c>
      <c r="G35" s="43" t="s">
        <v>77</v>
      </c>
      <c r="H35" s="43" t="s">
        <v>77</v>
      </c>
      <c r="I35" s="53" t="s">
        <v>44</v>
      </c>
      <c r="J35" s="46"/>
      <c r="K35" s="47"/>
    </row>
    <row r="36" spans="1:11" ht="31.5" customHeight="1" x14ac:dyDescent="0.25">
      <c r="A36" s="32">
        <v>46190</v>
      </c>
      <c r="B36" s="33" t="s">
        <v>37</v>
      </c>
      <c r="C36" s="51" t="s">
        <v>38</v>
      </c>
      <c r="D36" s="35" t="s">
        <v>39</v>
      </c>
      <c r="E36" s="36" t="s">
        <v>40</v>
      </c>
      <c r="F36" s="37" t="s">
        <v>134</v>
      </c>
      <c r="G36" s="35" t="s">
        <v>77</v>
      </c>
      <c r="H36" s="35" t="s">
        <v>77</v>
      </c>
      <c r="I36" s="54" t="s">
        <v>121</v>
      </c>
      <c r="J36" s="55" t="s">
        <v>25</v>
      </c>
      <c r="K36" s="56" t="s">
        <v>135</v>
      </c>
    </row>
    <row r="37" spans="1:11" ht="31.5" customHeight="1" x14ac:dyDescent="0.25">
      <c r="A37" s="41">
        <v>46190</v>
      </c>
      <c r="B37" s="42" t="s">
        <v>37</v>
      </c>
      <c r="C37" s="51" t="s">
        <v>38</v>
      </c>
      <c r="D37" s="43" t="s">
        <v>39</v>
      </c>
      <c r="E37" s="44" t="s">
        <v>40</v>
      </c>
      <c r="F37" s="45" t="s">
        <v>136</v>
      </c>
      <c r="G37" s="43" t="s">
        <v>77</v>
      </c>
      <c r="H37" s="43" t="s">
        <v>77</v>
      </c>
      <c r="I37" s="51" t="s">
        <v>137</v>
      </c>
      <c r="J37" s="55" t="s">
        <v>25</v>
      </c>
      <c r="K37" s="57" t="s">
        <v>138</v>
      </c>
    </row>
    <row r="38" spans="1:11" ht="31.5" customHeight="1" x14ac:dyDescent="0.25">
      <c r="A38" s="32">
        <v>46190</v>
      </c>
      <c r="B38" s="33" t="s">
        <v>37</v>
      </c>
      <c r="C38" s="51" t="s">
        <v>38</v>
      </c>
      <c r="D38" s="35" t="s">
        <v>39</v>
      </c>
      <c r="E38" s="36" t="s">
        <v>40</v>
      </c>
      <c r="F38" s="37" t="s">
        <v>139</v>
      </c>
      <c r="G38" s="35" t="s">
        <v>77</v>
      </c>
      <c r="H38" s="35" t="s">
        <v>77</v>
      </c>
      <c r="I38" s="51" t="s">
        <v>137</v>
      </c>
      <c r="J38" s="55" t="s">
        <v>25</v>
      </c>
      <c r="K38" s="56" t="s">
        <v>138</v>
      </c>
    </row>
    <row r="39" spans="1:11" ht="31.5" customHeight="1" x14ac:dyDescent="0.25">
      <c r="A39" s="41">
        <v>46190</v>
      </c>
      <c r="B39" s="42" t="s">
        <v>37</v>
      </c>
      <c r="C39" s="48" t="s">
        <v>60</v>
      </c>
      <c r="D39" s="43" t="s">
        <v>39</v>
      </c>
      <c r="E39" s="44" t="s">
        <v>40</v>
      </c>
      <c r="F39" s="45" t="s">
        <v>140</v>
      </c>
      <c r="G39" s="43" t="s">
        <v>77</v>
      </c>
      <c r="H39" s="43" t="s">
        <v>77</v>
      </c>
      <c r="I39" s="54" t="s">
        <v>141</v>
      </c>
      <c r="J39" s="55" t="s">
        <v>25</v>
      </c>
      <c r="K39" s="57" t="s">
        <v>142</v>
      </c>
    </row>
    <row r="40" spans="1:11" ht="31.5" customHeight="1" x14ac:dyDescent="0.25">
      <c r="A40" s="32">
        <v>46190</v>
      </c>
      <c r="B40" s="33" t="s">
        <v>59</v>
      </c>
      <c r="C40" s="48" t="s">
        <v>60</v>
      </c>
      <c r="D40" s="35" t="s">
        <v>61</v>
      </c>
      <c r="E40" s="36" t="s">
        <v>125</v>
      </c>
      <c r="F40" s="37" t="s">
        <v>143</v>
      </c>
      <c r="G40" s="35" t="s">
        <v>77</v>
      </c>
      <c r="H40" s="35" t="s">
        <v>77</v>
      </c>
      <c r="I40" s="38" t="s">
        <v>42</v>
      </c>
      <c r="J40" s="39"/>
      <c r="K40" s="40"/>
    </row>
    <row r="41" spans="1:11" ht="31.5" customHeight="1" x14ac:dyDescent="0.25">
      <c r="A41" s="41">
        <v>46190</v>
      </c>
      <c r="B41" s="42" t="s">
        <v>59</v>
      </c>
      <c r="C41" s="48" t="s">
        <v>60</v>
      </c>
      <c r="D41" s="43" t="s">
        <v>65</v>
      </c>
      <c r="E41" s="44" t="s">
        <v>66</v>
      </c>
      <c r="F41" s="45" t="s">
        <v>144</v>
      </c>
      <c r="G41" s="43" t="s">
        <v>77</v>
      </c>
      <c r="H41" s="43" t="s">
        <v>77</v>
      </c>
      <c r="I41" s="53" t="s">
        <v>127</v>
      </c>
      <c r="J41" s="46"/>
      <c r="K41" s="47"/>
    </row>
    <row r="42" spans="1:11" ht="31.5" customHeight="1" x14ac:dyDescent="0.25">
      <c r="A42" s="32">
        <v>46190</v>
      </c>
      <c r="B42" s="33" t="s">
        <v>107</v>
      </c>
      <c r="C42" s="48" t="s">
        <v>60</v>
      </c>
      <c r="D42" s="35" t="s">
        <v>131</v>
      </c>
      <c r="E42" s="36" t="s">
        <v>62</v>
      </c>
      <c r="F42" s="37" t="s">
        <v>145</v>
      </c>
      <c r="G42" s="35" t="s">
        <v>77</v>
      </c>
      <c r="H42" s="35" t="s">
        <v>77</v>
      </c>
      <c r="I42" s="53" t="s">
        <v>44</v>
      </c>
      <c r="J42" s="39"/>
      <c r="K42" s="40"/>
    </row>
    <row r="43" spans="1:11" ht="31.5" customHeight="1" x14ac:dyDescent="0.25">
      <c r="A43" s="41">
        <v>46190</v>
      </c>
      <c r="B43" s="42" t="s">
        <v>31</v>
      </c>
      <c r="C43" s="48" t="s">
        <v>32</v>
      </c>
      <c r="D43" s="43" t="s">
        <v>146</v>
      </c>
      <c r="E43" s="44" t="s">
        <v>34</v>
      </c>
      <c r="F43" s="45" t="s">
        <v>147</v>
      </c>
      <c r="G43" s="43" t="s">
        <v>77</v>
      </c>
      <c r="H43" s="43" t="s">
        <v>77</v>
      </c>
      <c r="I43" s="53" t="s">
        <v>44</v>
      </c>
      <c r="J43" s="46"/>
      <c r="K43" s="47"/>
    </row>
    <row r="44" spans="1:11" ht="31.5" customHeight="1" x14ac:dyDescent="0.25">
      <c r="A44" s="32">
        <v>46190</v>
      </c>
      <c r="B44" s="33" t="s">
        <v>107</v>
      </c>
      <c r="C44" s="48" t="s">
        <v>32</v>
      </c>
      <c r="D44" s="35" t="s">
        <v>87</v>
      </c>
      <c r="E44" s="36" t="s">
        <v>109</v>
      </c>
      <c r="F44" s="37" t="s">
        <v>148</v>
      </c>
      <c r="G44" s="35" t="s">
        <v>77</v>
      </c>
      <c r="H44" s="35" t="s">
        <v>77</v>
      </c>
      <c r="I44" s="38" t="s">
        <v>42</v>
      </c>
      <c r="J44" s="58"/>
      <c r="K44" s="35"/>
    </row>
    <row r="45" spans="1:11" ht="31.5" customHeight="1" x14ac:dyDescent="0.25">
      <c r="A45" s="41">
        <v>46191</v>
      </c>
      <c r="B45" s="42" t="s">
        <v>26</v>
      </c>
      <c r="C45" s="48" t="s">
        <v>32</v>
      </c>
      <c r="D45" s="43" t="s">
        <v>87</v>
      </c>
      <c r="E45" s="44" t="s">
        <v>34</v>
      </c>
      <c r="F45" s="45" t="s">
        <v>149</v>
      </c>
      <c r="G45" s="43" t="s">
        <v>77</v>
      </c>
      <c r="H45" s="43" t="s">
        <v>77</v>
      </c>
      <c r="I45" s="49" t="s">
        <v>86</v>
      </c>
      <c r="J45" s="43"/>
      <c r="K45" s="47"/>
    </row>
    <row r="46" spans="1:11" ht="31.5" customHeight="1" x14ac:dyDescent="0.25">
      <c r="A46" s="32">
        <v>46191</v>
      </c>
      <c r="B46" s="33" t="s">
        <v>26</v>
      </c>
      <c r="C46" s="51" t="s">
        <v>38</v>
      </c>
      <c r="D46" s="35" t="s">
        <v>92</v>
      </c>
      <c r="E46" s="36" t="s">
        <v>150</v>
      </c>
      <c r="F46" s="37" t="s">
        <v>151</v>
      </c>
      <c r="G46" s="35" t="s">
        <v>77</v>
      </c>
      <c r="H46" s="35" t="s">
        <v>77</v>
      </c>
      <c r="I46" s="53" t="s">
        <v>44</v>
      </c>
      <c r="J46" s="35"/>
      <c r="K46" s="40"/>
    </row>
    <row r="47" spans="1:11" ht="31.5" customHeight="1" x14ac:dyDescent="0.25">
      <c r="A47" s="41">
        <v>46191</v>
      </c>
      <c r="B47" s="42" t="s">
        <v>26</v>
      </c>
      <c r="C47" s="52" t="s">
        <v>27</v>
      </c>
      <c r="D47" s="43" t="s">
        <v>84</v>
      </c>
      <c r="E47" s="44" t="s">
        <v>77</v>
      </c>
      <c r="F47" s="45" t="s">
        <v>152</v>
      </c>
      <c r="G47" s="43" t="s">
        <v>77</v>
      </c>
      <c r="H47" s="43" t="s">
        <v>77</v>
      </c>
      <c r="I47" s="53" t="s">
        <v>44</v>
      </c>
      <c r="J47" s="43"/>
      <c r="K47" s="47"/>
    </row>
    <row r="48" spans="1:11" ht="31.5" customHeight="1" x14ac:dyDescent="0.25">
      <c r="A48" s="32">
        <v>46191</v>
      </c>
      <c r="B48" s="33" t="s">
        <v>52</v>
      </c>
      <c r="C48" s="34" t="s">
        <v>53</v>
      </c>
      <c r="D48" s="35" t="s">
        <v>74</v>
      </c>
      <c r="E48" s="36" t="s">
        <v>54</v>
      </c>
      <c r="F48" s="37" t="s">
        <v>55</v>
      </c>
      <c r="G48" s="35" t="s">
        <v>77</v>
      </c>
      <c r="H48" s="35" t="s">
        <v>77</v>
      </c>
      <c r="I48" s="38" t="s">
        <v>42</v>
      </c>
      <c r="J48" s="35"/>
      <c r="K48" s="40"/>
    </row>
    <row r="49" spans="1:11" ht="31.5" customHeight="1" x14ac:dyDescent="0.25">
      <c r="A49" s="41">
        <v>46191</v>
      </c>
      <c r="B49" s="42" t="s">
        <v>52</v>
      </c>
      <c r="C49" s="34" t="s">
        <v>53</v>
      </c>
      <c r="D49" s="43" t="s">
        <v>74</v>
      </c>
      <c r="E49" s="44" t="s">
        <v>54</v>
      </c>
      <c r="F49" s="45" t="s">
        <v>56</v>
      </c>
      <c r="G49" s="43" t="s">
        <v>77</v>
      </c>
      <c r="H49" s="43" t="s">
        <v>77</v>
      </c>
      <c r="I49" s="38" t="s">
        <v>42</v>
      </c>
      <c r="J49" s="43"/>
      <c r="K49" s="47"/>
    </row>
    <row r="50" spans="1:11" ht="31.5" customHeight="1" x14ac:dyDescent="0.25">
      <c r="A50" s="32">
        <v>46191</v>
      </c>
      <c r="B50" s="33" t="s">
        <v>52</v>
      </c>
      <c r="C50" s="34" t="s">
        <v>53</v>
      </c>
      <c r="D50" s="35" t="s">
        <v>115</v>
      </c>
      <c r="E50" s="36" t="s">
        <v>54</v>
      </c>
      <c r="F50" s="37" t="s">
        <v>116</v>
      </c>
      <c r="G50" s="35" t="s">
        <v>77</v>
      </c>
      <c r="H50" s="35" t="s">
        <v>77</v>
      </c>
      <c r="I50" s="38" t="s">
        <v>42</v>
      </c>
      <c r="J50" s="35"/>
      <c r="K50" s="40"/>
    </row>
    <row r="51" spans="1:11" ht="31.5" customHeight="1" x14ac:dyDescent="0.25">
      <c r="A51" s="41">
        <v>46191</v>
      </c>
      <c r="B51" s="42" t="s">
        <v>37</v>
      </c>
      <c r="C51" s="51" t="s">
        <v>38</v>
      </c>
      <c r="D51" s="43" t="s">
        <v>39</v>
      </c>
      <c r="E51" s="44" t="s">
        <v>40</v>
      </c>
      <c r="F51" s="45" t="s">
        <v>153</v>
      </c>
      <c r="G51" s="43" t="s">
        <v>77</v>
      </c>
      <c r="H51" s="43" t="s">
        <v>77</v>
      </c>
      <c r="I51" s="38" t="s">
        <v>42</v>
      </c>
      <c r="J51" s="43"/>
      <c r="K51" s="47"/>
    </row>
    <row r="52" spans="1:11" ht="31.5" customHeight="1" x14ac:dyDescent="0.25">
      <c r="A52" s="32">
        <v>46191</v>
      </c>
      <c r="B52" s="33" t="s">
        <v>37</v>
      </c>
      <c r="C52" s="51" t="s">
        <v>123</v>
      </c>
      <c r="D52" s="35" t="s">
        <v>39</v>
      </c>
      <c r="E52" s="36" t="s">
        <v>40</v>
      </c>
      <c r="F52" s="37" t="s">
        <v>154</v>
      </c>
      <c r="G52" s="35" t="s">
        <v>77</v>
      </c>
      <c r="H52" s="35" t="s">
        <v>77</v>
      </c>
      <c r="I52" s="53" t="s">
        <v>155</v>
      </c>
      <c r="J52" s="35"/>
      <c r="K52" s="40"/>
    </row>
    <row r="53" spans="1:11" ht="31.5" customHeight="1" x14ac:dyDescent="0.25">
      <c r="A53" s="41">
        <v>46191</v>
      </c>
      <c r="B53" s="42" t="s">
        <v>37</v>
      </c>
      <c r="C53" s="51" t="s">
        <v>38</v>
      </c>
      <c r="D53" s="43" t="s">
        <v>39</v>
      </c>
      <c r="E53" s="44" t="s">
        <v>40</v>
      </c>
      <c r="F53" s="45" t="s">
        <v>156</v>
      </c>
      <c r="G53" s="43" t="s">
        <v>77</v>
      </c>
      <c r="H53" s="43" t="s">
        <v>77</v>
      </c>
      <c r="I53" s="38" t="s">
        <v>42</v>
      </c>
      <c r="J53" s="43"/>
      <c r="K53" s="47"/>
    </row>
    <row r="54" spans="1:11" ht="31.5" customHeight="1" x14ac:dyDescent="0.25">
      <c r="A54" s="32">
        <v>46191</v>
      </c>
      <c r="B54" s="33" t="s">
        <v>37</v>
      </c>
      <c r="C54" s="48" t="s">
        <v>32</v>
      </c>
      <c r="D54" s="35" t="s">
        <v>119</v>
      </c>
      <c r="E54" s="36" t="s">
        <v>40</v>
      </c>
      <c r="F54" s="37" t="s">
        <v>157</v>
      </c>
      <c r="G54" s="35" t="s">
        <v>77</v>
      </c>
      <c r="H54" s="35" t="s">
        <v>77</v>
      </c>
      <c r="I54" s="38" t="s">
        <v>42</v>
      </c>
      <c r="J54" s="35"/>
      <c r="K54" s="40"/>
    </row>
    <row r="55" spans="1:11" ht="31.5" customHeight="1" x14ac:dyDescent="0.25">
      <c r="A55" s="41">
        <v>46191</v>
      </c>
      <c r="B55" s="42" t="s">
        <v>31</v>
      </c>
      <c r="C55" s="48" t="s">
        <v>32</v>
      </c>
      <c r="D55" s="43" t="s">
        <v>84</v>
      </c>
      <c r="E55" s="44" t="s">
        <v>34</v>
      </c>
      <c r="F55" s="45" t="s">
        <v>158</v>
      </c>
      <c r="G55" s="43" t="s">
        <v>77</v>
      </c>
      <c r="H55" s="43" t="s">
        <v>77</v>
      </c>
      <c r="I55" s="53" t="s">
        <v>44</v>
      </c>
      <c r="J55" s="43"/>
      <c r="K55" s="47"/>
    </row>
    <row r="56" spans="1:11" ht="31.5" customHeight="1" x14ac:dyDescent="0.25">
      <c r="A56" s="32">
        <v>46191</v>
      </c>
      <c r="B56" s="33" t="s">
        <v>101</v>
      </c>
      <c r="C56" s="48" t="s">
        <v>60</v>
      </c>
      <c r="D56" s="35" t="s">
        <v>131</v>
      </c>
      <c r="E56" s="36" t="s">
        <v>62</v>
      </c>
      <c r="F56" s="37" t="s">
        <v>159</v>
      </c>
      <c r="G56" s="35" t="s">
        <v>77</v>
      </c>
      <c r="H56" s="35" t="s">
        <v>77</v>
      </c>
      <c r="I56" s="49" t="s">
        <v>160</v>
      </c>
      <c r="J56" s="35"/>
      <c r="K56" s="40" t="s">
        <v>161</v>
      </c>
    </row>
    <row r="57" spans="1:11" ht="31.5" customHeight="1" x14ac:dyDescent="0.25">
      <c r="A57" s="41">
        <v>46192</v>
      </c>
      <c r="B57" s="42" t="s">
        <v>31</v>
      </c>
      <c r="C57" s="48" t="s">
        <v>32</v>
      </c>
      <c r="D57" s="43" t="s">
        <v>84</v>
      </c>
      <c r="E57" s="44" t="s">
        <v>34</v>
      </c>
      <c r="F57" s="45" t="s">
        <v>162</v>
      </c>
      <c r="G57" s="43" t="s">
        <v>77</v>
      </c>
      <c r="H57" s="43" t="s">
        <v>77</v>
      </c>
      <c r="I57" s="38" t="s">
        <v>42</v>
      </c>
      <c r="J57" s="43"/>
      <c r="K57" s="47"/>
    </row>
    <row r="58" spans="1:11" ht="31.5" customHeight="1" x14ac:dyDescent="0.25">
      <c r="A58" s="32">
        <v>46192</v>
      </c>
      <c r="B58" s="33" t="s">
        <v>52</v>
      </c>
      <c r="C58" s="34" t="s">
        <v>53</v>
      </c>
      <c r="D58" s="35" t="s">
        <v>74</v>
      </c>
      <c r="E58" s="36" t="s">
        <v>54</v>
      </c>
      <c r="F58" s="37" t="s">
        <v>55</v>
      </c>
      <c r="G58" s="35" t="s">
        <v>77</v>
      </c>
      <c r="H58" s="35" t="s">
        <v>77</v>
      </c>
      <c r="I58" s="38" t="s">
        <v>42</v>
      </c>
      <c r="J58" s="35"/>
      <c r="K58" s="40"/>
    </row>
    <row r="59" spans="1:11" ht="31.5" customHeight="1" x14ac:dyDescent="0.25">
      <c r="A59" s="41">
        <v>46192</v>
      </c>
      <c r="B59" s="42" t="s">
        <v>52</v>
      </c>
      <c r="C59" s="34" t="s">
        <v>53</v>
      </c>
      <c r="D59" s="43" t="s">
        <v>74</v>
      </c>
      <c r="E59" s="44" t="s">
        <v>54</v>
      </c>
      <c r="F59" s="45" t="s">
        <v>56</v>
      </c>
      <c r="G59" s="43" t="s">
        <v>77</v>
      </c>
      <c r="H59" s="43" t="s">
        <v>77</v>
      </c>
      <c r="I59" s="38" t="s">
        <v>42</v>
      </c>
      <c r="J59" s="43"/>
      <c r="K59" s="47"/>
    </row>
    <row r="60" spans="1:11" ht="31.5" customHeight="1" x14ac:dyDescent="0.25">
      <c r="A60" s="32">
        <v>46192</v>
      </c>
      <c r="B60" s="33" t="s">
        <v>37</v>
      </c>
      <c r="C60" s="51" t="s">
        <v>38</v>
      </c>
      <c r="D60" s="35" t="s">
        <v>39</v>
      </c>
      <c r="E60" s="36" t="s">
        <v>40</v>
      </c>
      <c r="F60" s="37" t="s">
        <v>153</v>
      </c>
      <c r="G60" s="35" t="s">
        <v>77</v>
      </c>
      <c r="H60" s="35" t="s">
        <v>77</v>
      </c>
      <c r="I60" s="53" t="s">
        <v>44</v>
      </c>
      <c r="J60" s="35"/>
      <c r="K60" s="40"/>
    </row>
    <row r="61" spans="1:11" ht="31.5" customHeight="1" x14ac:dyDescent="0.25">
      <c r="A61" s="41">
        <v>46192</v>
      </c>
      <c r="B61" s="42" t="s">
        <v>37</v>
      </c>
      <c r="C61" s="51" t="s">
        <v>38</v>
      </c>
      <c r="D61" s="43" t="s">
        <v>39</v>
      </c>
      <c r="E61" s="44" t="s">
        <v>40</v>
      </c>
      <c r="F61" s="45" t="s">
        <v>156</v>
      </c>
      <c r="G61" s="43" t="s">
        <v>77</v>
      </c>
      <c r="H61" s="43" t="s">
        <v>77</v>
      </c>
      <c r="I61" s="38" t="s">
        <v>42</v>
      </c>
      <c r="J61" s="43"/>
      <c r="K61" s="47"/>
    </row>
    <row r="62" spans="1:11" ht="31.5" customHeight="1" x14ac:dyDescent="0.25">
      <c r="A62" s="41">
        <v>46192</v>
      </c>
      <c r="B62" s="42" t="s">
        <v>37</v>
      </c>
      <c r="C62" s="51" t="s">
        <v>38</v>
      </c>
      <c r="D62" s="43" t="s">
        <v>39</v>
      </c>
      <c r="E62" s="44" t="s">
        <v>40</v>
      </c>
      <c r="F62" s="45" t="s">
        <v>163</v>
      </c>
      <c r="G62" s="43" t="s">
        <v>77</v>
      </c>
      <c r="H62" s="43" t="s">
        <v>77</v>
      </c>
      <c r="I62" s="38" t="s">
        <v>42</v>
      </c>
      <c r="J62" s="59" t="s">
        <v>25</v>
      </c>
      <c r="K62" s="60" t="s">
        <v>164</v>
      </c>
    </row>
    <row r="63" spans="1:11" ht="24" customHeight="1" x14ac:dyDescent="0.25">
      <c r="A63" s="32">
        <v>46192</v>
      </c>
      <c r="B63" s="33" t="s">
        <v>37</v>
      </c>
      <c r="C63" s="48" t="s">
        <v>32</v>
      </c>
      <c r="D63" s="35" t="s">
        <v>119</v>
      </c>
      <c r="E63" s="36" t="s">
        <v>40</v>
      </c>
      <c r="F63" s="37" t="s">
        <v>157</v>
      </c>
      <c r="G63" s="35" t="s">
        <v>77</v>
      </c>
      <c r="H63" s="35" t="s">
        <v>77</v>
      </c>
      <c r="I63" s="38" t="s">
        <v>42</v>
      </c>
      <c r="J63" s="35"/>
      <c r="K63" s="40"/>
    </row>
    <row r="64" spans="1:11" ht="31.5" customHeight="1" x14ac:dyDescent="0.25">
      <c r="A64" s="32">
        <v>46192</v>
      </c>
      <c r="B64" s="33" t="s">
        <v>101</v>
      </c>
      <c r="C64" s="48" t="s">
        <v>60</v>
      </c>
      <c r="D64" s="35" t="s">
        <v>165</v>
      </c>
      <c r="E64" s="36" t="s">
        <v>62</v>
      </c>
      <c r="F64" s="37" t="s">
        <v>166</v>
      </c>
      <c r="G64" s="35" t="s">
        <v>77</v>
      </c>
      <c r="H64" s="35" t="s">
        <v>77</v>
      </c>
      <c r="I64" s="49" t="s">
        <v>160</v>
      </c>
      <c r="J64" s="35"/>
      <c r="K64" s="40"/>
    </row>
    <row r="65" spans="1:11" ht="31.5" customHeight="1" x14ac:dyDescent="0.25">
      <c r="A65" s="41">
        <v>46192</v>
      </c>
      <c r="B65" s="42" t="s">
        <v>59</v>
      </c>
      <c r="C65" s="48" t="s">
        <v>32</v>
      </c>
      <c r="D65" s="43" t="s">
        <v>61</v>
      </c>
      <c r="E65" s="44" t="s">
        <v>125</v>
      </c>
      <c r="F65" s="45" t="s">
        <v>167</v>
      </c>
      <c r="G65" s="43" t="s">
        <v>77</v>
      </c>
      <c r="H65" s="43" t="s">
        <v>77</v>
      </c>
      <c r="I65" s="38" t="s">
        <v>42</v>
      </c>
      <c r="J65" s="43"/>
      <c r="K65" s="47"/>
    </row>
    <row r="66" spans="1:11" ht="31.5" customHeight="1" x14ac:dyDescent="0.25">
      <c r="A66" s="32">
        <v>46195</v>
      </c>
      <c r="B66" s="33" t="s">
        <v>26</v>
      </c>
      <c r="C66" s="51" t="s">
        <v>38</v>
      </c>
      <c r="D66" s="35" t="s">
        <v>74</v>
      </c>
      <c r="E66" s="36" t="s">
        <v>34</v>
      </c>
      <c r="F66" s="37" t="s">
        <v>168</v>
      </c>
      <c r="G66" s="35" t="s">
        <v>77</v>
      </c>
      <c r="H66" s="35" t="s">
        <v>77</v>
      </c>
      <c r="I66" s="49" t="s">
        <v>86</v>
      </c>
      <c r="J66" s="35"/>
      <c r="K66" s="35"/>
    </row>
    <row r="67" spans="1:11" ht="31.5" customHeight="1" x14ac:dyDescent="0.25">
      <c r="A67" s="41">
        <v>46195</v>
      </c>
      <c r="B67" s="42" t="s">
        <v>26</v>
      </c>
      <c r="C67" s="48" t="s">
        <v>32</v>
      </c>
      <c r="D67" s="43" t="s">
        <v>169</v>
      </c>
      <c r="E67" s="44" t="s">
        <v>170</v>
      </c>
      <c r="F67" s="45" t="s">
        <v>171</v>
      </c>
      <c r="G67" s="43" t="s">
        <v>77</v>
      </c>
      <c r="H67" s="43" t="s">
        <v>77</v>
      </c>
      <c r="I67" s="49" t="s">
        <v>86</v>
      </c>
      <c r="J67" s="43"/>
      <c r="K67" s="43"/>
    </row>
    <row r="68" spans="1:11" ht="31.5" customHeight="1" x14ac:dyDescent="0.25">
      <c r="A68" s="32">
        <v>46195</v>
      </c>
      <c r="B68" s="33" t="s">
        <v>31</v>
      </c>
      <c r="C68" s="50" t="s">
        <v>48</v>
      </c>
      <c r="D68" s="35" t="s">
        <v>172</v>
      </c>
      <c r="E68" s="36" t="s">
        <v>34</v>
      </c>
      <c r="F68" s="37" t="s">
        <v>173</v>
      </c>
      <c r="G68" s="35" t="s">
        <v>77</v>
      </c>
      <c r="H68" s="35" t="s">
        <v>77</v>
      </c>
      <c r="I68" s="38" t="s">
        <v>42</v>
      </c>
      <c r="J68" s="59" t="s">
        <v>25</v>
      </c>
      <c r="K68" s="60" t="s">
        <v>174</v>
      </c>
    </row>
    <row r="69" spans="1:11" ht="31.5" customHeight="1" x14ac:dyDescent="0.25">
      <c r="A69" s="41">
        <v>46195</v>
      </c>
      <c r="B69" s="42" t="s">
        <v>31</v>
      </c>
      <c r="C69" s="50" t="s">
        <v>48</v>
      </c>
      <c r="D69" s="43" t="s">
        <v>175</v>
      </c>
      <c r="E69" s="44" t="s">
        <v>34</v>
      </c>
      <c r="F69" s="45" t="s">
        <v>176</v>
      </c>
      <c r="G69" s="43" t="s">
        <v>77</v>
      </c>
      <c r="H69" s="43" t="s">
        <v>77</v>
      </c>
      <c r="I69" s="38" t="s">
        <v>42</v>
      </c>
      <c r="J69" s="43"/>
      <c r="K69" s="43"/>
    </row>
    <row r="70" spans="1:11" ht="31.5" customHeight="1" x14ac:dyDescent="0.25">
      <c r="A70" s="32">
        <v>46195</v>
      </c>
      <c r="B70" s="33" t="s">
        <v>59</v>
      </c>
      <c r="C70" s="48" t="s">
        <v>60</v>
      </c>
      <c r="D70" s="35" t="s">
        <v>61</v>
      </c>
      <c r="E70" s="36" t="s">
        <v>125</v>
      </c>
      <c r="F70" s="37" t="s">
        <v>177</v>
      </c>
      <c r="G70" s="35" t="s">
        <v>77</v>
      </c>
      <c r="H70" s="35" t="s">
        <v>77</v>
      </c>
      <c r="I70" s="38" t="s">
        <v>42</v>
      </c>
      <c r="J70" s="35"/>
      <c r="K70" s="35"/>
    </row>
    <row r="71" spans="1:11" ht="31.5" customHeight="1" x14ac:dyDescent="0.25">
      <c r="A71" s="41">
        <v>46195</v>
      </c>
      <c r="B71" s="42" t="s">
        <v>101</v>
      </c>
      <c r="C71" s="48" t="s">
        <v>60</v>
      </c>
      <c r="D71" s="43" t="s">
        <v>178</v>
      </c>
      <c r="E71" s="44" t="s">
        <v>62</v>
      </c>
      <c r="F71" s="45" t="s">
        <v>179</v>
      </c>
      <c r="G71" s="43" t="s">
        <v>77</v>
      </c>
      <c r="H71" s="43" t="s">
        <v>77</v>
      </c>
      <c r="I71" s="38" t="s">
        <v>42</v>
      </c>
      <c r="J71" s="43"/>
      <c r="K71" s="43"/>
    </row>
    <row r="72" spans="1:11" ht="31.5" customHeight="1" x14ac:dyDescent="0.25">
      <c r="A72" s="32">
        <v>46195</v>
      </c>
      <c r="B72" s="33" t="s">
        <v>101</v>
      </c>
      <c r="C72" s="48" t="s">
        <v>60</v>
      </c>
      <c r="D72" s="35" t="s">
        <v>165</v>
      </c>
      <c r="E72" s="36" t="s">
        <v>62</v>
      </c>
      <c r="F72" s="37" t="s">
        <v>166</v>
      </c>
      <c r="G72" s="35" t="s">
        <v>77</v>
      </c>
      <c r="H72" s="35" t="s">
        <v>77</v>
      </c>
      <c r="I72" s="53" t="s">
        <v>44</v>
      </c>
      <c r="J72" s="35"/>
      <c r="K72" s="35"/>
    </row>
    <row r="73" spans="1:11" ht="31.5" customHeight="1" x14ac:dyDescent="0.25">
      <c r="A73" s="41">
        <v>46195</v>
      </c>
      <c r="B73" s="42" t="s">
        <v>37</v>
      </c>
      <c r="C73" s="51" t="s">
        <v>123</v>
      </c>
      <c r="D73" s="43" t="s">
        <v>39</v>
      </c>
      <c r="E73" s="44" t="s">
        <v>40</v>
      </c>
      <c r="F73" s="45" t="s">
        <v>180</v>
      </c>
      <c r="G73" s="43" t="s">
        <v>77</v>
      </c>
      <c r="H73" s="43" t="s">
        <v>77</v>
      </c>
      <c r="I73" s="53" t="s">
        <v>44</v>
      </c>
      <c r="J73" s="43"/>
      <c r="K73" s="43"/>
    </row>
    <row r="74" spans="1:11" ht="31.5" customHeight="1" x14ac:dyDescent="0.25">
      <c r="A74" s="32">
        <v>46195</v>
      </c>
      <c r="B74" s="33" t="s">
        <v>37</v>
      </c>
      <c r="C74" s="51" t="s">
        <v>38</v>
      </c>
      <c r="D74" s="35" t="s">
        <v>39</v>
      </c>
      <c r="E74" s="36" t="s">
        <v>40</v>
      </c>
      <c r="F74" s="37" t="s">
        <v>181</v>
      </c>
      <c r="G74" s="35" t="s">
        <v>77</v>
      </c>
      <c r="H74" s="35" t="s">
        <v>77</v>
      </c>
      <c r="I74" s="38" t="s">
        <v>42</v>
      </c>
      <c r="J74" s="35"/>
      <c r="K74" s="35"/>
    </row>
    <row r="75" spans="1:11" ht="31.5" customHeight="1" x14ac:dyDescent="0.25">
      <c r="A75" s="41">
        <v>46195</v>
      </c>
      <c r="B75" s="42" t="s">
        <v>37</v>
      </c>
      <c r="C75" s="48" t="s">
        <v>32</v>
      </c>
      <c r="D75" s="43" t="s">
        <v>39</v>
      </c>
      <c r="E75" s="44" t="s">
        <v>40</v>
      </c>
      <c r="F75" s="45" t="s">
        <v>182</v>
      </c>
      <c r="G75" s="43" t="s">
        <v>77</v>
      </c>
      <c r="H75" s="43" t="s">
        <v>77</v>
      </c>
      <c r="I75" s="53" t="s">
        <v>44</v>
      </c>
      <c r="J75" s="43"/>
      <c r="K75" s="43"/>
    </row>
    <row r="76" spans="1:11" ht="31.5" customHeight="1" x14ac:dyDescent="0.25">
      <c r="A76" s="32">
        <v>46195</v>
      </c>
      <c r="B76" s="33" t="s">
        <v>37</v>
      </c>
      <c r="C76" s="51" t="s">
        <v>38</v>
      </c>
      <c r="D76" s="35" t="s">
        <v>39</v>
      </c>
      <c r="E76" s="36" t="s">
        <v>40</v>
      </c>
      <c r="F76" s="37" t="s">
        <v>183</v>
      </c>
      <c r="G76" s="35" t="s">
        <v>77</v>
      </c>
      <c r="H76" s="35" t="s">
        <v>77</v>
      </c>
      <c r="I76" s="38" t="s">
        <v>42</v>
      </c>
      <c r="J76" s="35"/>
      <c r="K76" s="35"/>
    </row>
    <row r="77" spans="1:11" ht="31.5" customHeight="1" x14ac:dyDescent="0.25">
      <c r="A77" s="41">
        <v>46195</v>
      </c>
      <c r="B77" s="42" t="s">
        <v>37</v>
      </c>
      <c r="C77" s="48" t="s">
        <v>32</v>
      </c>
      <c r="D77" s="43" t="s">
        <v>119</v>
      </c>
      <c r="E77" s="44" t="s">
        <v>40</v>
      </c>
      <c r="F77" s="45" t="s">
        <v>157</v>
      </c>
      <c r="G77" s="43" t="s">
        <v>77</v>
      </c>
      <c r="H77" s="43" t="s">
        <v>77</v>
      </c>
      <c r="I77" s="38" t="s">
        <v>42</v>
      </c>
      <c r="J77" s="43"/>
      <c r="K77" s="43"/>
    </row>
    <row r="78" spans="1:11" ht="31.5" customHeight="1" x14ac:dyDescent="0.25">
      <c r="A78" s="32">
        <v>46195</v>
      </c>
      <c r="B78" s="33" t="s">
        <v>107</v>
      </c>
      <c r="C78" s="48" t="s">
        <v>32</v>
      </c>
      <c r="D78" s="35" t="s">
        <v>184</v>
      </c>
      <c r="E78" s="36" t="s">
        <v>109</v>
      </c>
      <c r="F78" s="37" t="s">
        <v>133</v>
      </c>
      <c r="G78" s="35" t="s">
        <v>77</v>
      </c>
      <c r="H78" s="35" t="s">
        <v>77</v>
      </c>
      <c r="I78" s="49" t="s">
        <v>86</v>
      </c>
      <c r="J78" s="35"/>
      <c r="K78" s="35"/>
    </row>
    <row r="79" spans="1:11" ht="31.5" customHeight="1" x14ac:dyDescent="0.25">
      <c r="A79" s="41">
        <v>46195</v>
      </c>
      <c r="B79" s="42" t="s">
        <v>107</v>
      </c>
      <c r="C79" s="48" t="s">
        <v>32</v>
      </c>
      <c r="D79" s="43" t="s">
        <v>185</v>
      </c>
      <c r="E79" s="44" t="s">
        <v>109</v>
      </c>
      <c r="F79" s="45" t="s">
        <v>171</v>
      </c>
      <c r="G79" s="43" t="s">
        <v>77</v>
      </c>
      <c r="H79" s="43" t="s">
        <v>77</v>
      </c>
      <c r="I79" s="38" t="s">
        <v>42</v>
      </c>
      <c r="J79" s="43"/>
      <c r="K79" s="43"/>
    </row>
    <row r="80" spans="1:11" ht="31.5" customHeight="1" x14ac:dyDescent="0.25">
      <c r="A80" s="32">
        <v>46196</v>
      </c>
      <c r="B80" s="33" t="s">
        <v>37</v>
      </c>
      <c r="C80" s="51" t="s">
        <v>38</v>
      </c>
      <c r="D80" s="35" t="s">
        <v>39</v>
      </c>
      <c r="E80" s="36" t="s">
        <v>40</v>
      </c>
      <c r="F80" s="37" t="s">
        <v>186</v>
      </c>
      <c r="G80" s="35" t="s">
        <v>77</v>
      </c>
      <c r="H80" s="35" t="s">
        <v>77</v>
      </c>
      <c r="I80" s="38" t="s">
        <v>42</v>
      </c>
      <c r="J80" s="59" t="s">
        <v>25</v>
      </c>
      <c r="K80" s="60" t="s">
        <v>187</v>
      </c>
    </row>
    <row r="81" spans="1:11" ht="31.5" customHeight="1" x14ac:dyDescent="0.25">
      <c r="A81" s="41">
        <v>46196</v>
      </c>
      <c r="B81" s="42" t="s">
        <v>37</v>
      </c>
      <c r="C81" s="51" t="s">
        <v>38</v>
      </c>
      <c r="D81" s="43" t="s">
        <v>39</v>
      </c>
      <c r="E81" s="44" t="s">
        <v>40</v>
      </c>
      <c r="F81" s="45" t="s">
        <v>188</v>
      </c>
      <c r="G81" s="43" t="s">
        <v>77</v>
      </c>
      <c r="H81" s="43" t="s">
        <v>77</v>
      </c>
      <c r="I81" s="38" t="s">
        <v>42</v>
      </c>
      <c r="J81" s="43"/>
      <c r="K81" s="43"/>
    </row>
    <row r="82" spans="1:11" ht="31.5" customHeight="1" x14ac:dyDescent="0.25">
      <c r="A82" s="32">
        <v>46196</v>
      </c>
      <c r="B82" s="33" t="s">
        <v>37</v>
      </c>
      <c r="C82" s="48" t="s">
        <v>32</v>
      </c>
      <c r="D82" s="35" t="s">
        <v>39</v>
      </c>
      <c r="E82" s="36" t="s">
        <v>40</v>
      </c>
      <c r="F82" s="37" t="s">
        <v>189</v>
      </c>
      <c r="G82" s="35" t="s">
        <v>77</v>
      </c>
      <c r="H82" s="35" t="s">
        <v>77</v>
      </c>
      <c r="I82" s="53" t="s">
        <v>44</v>
      </c>
      <c r="J82" s="35"/>
      <c r="K82" s="35"/>
    </row>
    <row r="83" spans="1:11" ht="31.5" customHeight="1" x14ac:dyDescent="0.25">
      <c r="A83" s="41">
        <v>46196</v>
      </c>
      <c r="B83" s="42" t="s">
        <v>37</v>
      </c>
      <c r="C83" s="51" t="s">
        <v>38</v>
      </c>
      <c r="D83" s="43" t="s">
        <v>39</v>
      </c>
      <c r="E83" s="44" t="s">
        <v>40</v>
      </c>
      <c r="F83" s="45" t="s">
        <v>183</v>
      </c>
      <c r="G83" s="43" t="s">
        <v>77</v>
      </c>
      <c r="H83" s="43" t="s">
        <v>77</v>
      </c>
      <c r="I83" s="38" t="s">
        <v>42</v>
      </c>
      <c r="J83" s="43"/>
      <c r="K83" s="43"/>
    </row>
    <row r="84" spans="1:11" ht="31.5" customHeight="1" x14ac:dyDescent="0.25">
      <c r="A84" s="32">
        <v>46196</v>
      </c>
      <c r="B84" s="33" t="s">
        <v>37</v>
      </c>
      <c r="C84" s="48" t="s">
        <v>32</v>
      </c>
      <c r="D84" s="35" t="s">
        <v>39</v>
      </c>
      <c r="E84" s="36" t="s">
        <v>40</v>
      </c>
      <c r="F84" s="37" t="s">
        <v>190</v>
      </c>
      <c r="G84" s="35" t="s">
        <v>77</v>
      </c>
      <c r="H84" s="35" t="s">
        <v>77</v>
      </c>
      <c r="I84" s="38" t="s">
        <v>42</v>
      </c>
      <c r="J84" s="35"/>
      <c r="K84" s="35"/>
    </row>
    <row r="85" spans="1:11" ht="31.5" customHeight="1" x14ac:dyDescent="0.25">
      <c r="A85" s="41">
        <v>46196</v>
      </c>
      <c r="B85" s="42" t="s">
        <v>37</v>
      </c>
      <c r="C85" s="48" t="s">
        <v>32</v>
      </c>
      <c r="D85" s="43" t="s">
        <v>119</v>
      </c>
      <c r="E85" s="44" t="s">
        <v>40</v>
      </c>
      <c r="F85" s="45" t="s">
        <v>191</v>
      </c>
      <c r="G85" s="43" t="s">
        <v>77</v>
      </c>
      <c r="H85" s="43" t="s">
        <v>77</v>
      </c>
      <c r="I85" s="38" t="s">
        <v>42</v>
      </c>
      <c r="J85" s="43"/>
      <c r="K85" s="43"/>
    </row>
    <row r="86" spans="1:11" ht="31.5" customHeight="1" x14ac:dyDescent="0.25">
      <c r="A86" s="32">
        <v>46196</v>
      </c>
      <c r="B86" s="33" t="s">
        <v>31</v>
      </c>
      <c r="C86" s="50" t="s">
        <v>48</v>
      </c>
      <c r="D86" s="35" t="s">
        <v>172</v>
      </c>
      <c r="E86" s="36" t="s">
        <v>34</v>
      </c>
      <c r="F86" s="37" t="s">
        <v>173</v>
      </c>
      <c r="G86" s="35" t="s">
        <v>77</v>
      </c>
      <c r="H86" s="35" t="s">
        <v>77</v>
      </c>
      <c r="I86" s="38" t="s">
        <v>42</v>
      </c>
      <c r="J86" s="35"/>
      <c r="K86" s="35"/>
    </row>
    <row r="87" spans="1:11" ht="31.5" customHeight="1" x14ac:dyDescent="0.25">
      <c r="A87" s="41">
        <v>46196</v>
      </c>
      <c r="B87" s="42" t="s">
        <v>31</v>
      </c>
      <c r="C87" s="50" t="s">
        <v>48</v>
      </c>
      <c r="D87" s="43" t="s">
        <v>175</v>
      </c>
      <c r="E87" s="44" t="s">
        <v>192</v>
      </c>
      <c r="F87" s="45" t="s">
        <v>176</v>
      </c>
      <c r="G87" s="43" t="s">
        <v>77</v>
      </c>
      <c r="H87" s="43" t="s">
        <v>77</v>
      </c>
      <c r="I87" s="38" t="s">
        <v>42</v>
      </c>
      <c r="J87" s="43"/>
      <c r="K87" s="43"/>
    </row>
    <row r="88" spans="1:11" ht="31.5" customHeight="1" x14ac:dyDescent="0.25">
      <c r="A88" s="32">
        <v>46196</v>
      </c>
      <c r="B88" s="33" t="s">
        <v>31</v>
      </c>
      <c r="C88" s="50" t="s">
        <v>48</v>
      </c>
      <c r="D88" s="35" t="s">
        <v>115</v>
      </c>
      <c r="E88" s="36" t="s">
        <v>34</v>
      </c>
      <c r="F88" s="37" t="s">
        <v>176</v>
      </c>
      <c r="G88" s="35" t="s">
        <v>77</v>
      </c>
      <c r="H88" s="35" t="s">
        <v>77</v>
      </c>
      <c r="I88" s="38" t="s">
        <v>42</v>
      </c>
      <c r="J88" s="35"/>
      <c r="K88" s="35"/>
    </row>
    <row r="89" spans="1:11" ht="31.5" customHeight="1" x14ac:dyDescent="0.25">
      <c r="A89" s="41">
        <v>46196</v>
      </c>
      <c r="B89" s="42" t="s">
        <v>59</v>
      </c>
      <c r="C89" s="48" t="s">
        <v>60</v>
      </c>
      <c r="D89" s="43" t="s">
        <v>61</v>
      </c>
      <c r="E89" s="44" t="s">
        <v>125</v>
      </c>
      <c r="F89" s="45" t="s">
        <v>193</v>
      </c>
      <c r="G89" s="43" t="s">
        <v>77</v>
      </c>
      <c r="H89" s="43" t="s">
        <v>77</v>
      </c>
      <c r="I89" s="38" t="s">
        <v>42</v>
      </c>
      <c r="J89" s="43"/>
      <c r="K89" s="43"/>
    </row>
    <row r="90" spans="1:11" ht="31.5" customHeight="1" x14ac:dyDescent="0.25">
      <c r="A90" s="32">
        <v>46196</v>
      </c>
      <c r="B90" s="33" t="s">
        <v>59</v>
      </c>
      <c r="C90" s="48" t="s">
        <v>60</v>
      </c>
      <c r="D90" s="35" t="s">
        <v>61</v>
      </c>
      <c r="E90" s="36" t="s">
        <v>125</v>
      </c>
      <c r="F90" s="37" t="s">
        <v>194</v>
      </c>
      <c r="G90" s="35" t="s">
        <v>77</v>
      </c>
      <c r="H90" s="35" t="s">
        <v>77</v>
      </c>
      <c r="I90" s="53" t="s">
        <v>127</v>
      </c>
      <c r="J90" s="35"/>
      <c r="K90" s="35"/>
    </row>
    <row r="91" spans="1:11" ht="31.5" customHeight="1" x14ac:dyDescent="0.25">
      <c r="A91" s="41">
        <v>46196</v>
      </c>
      <c r="B91" s="42" t="s">
        <v>101</v>
      </c>
      <c r="C91" s="48" t="s">
        <v>60</v>
      </c>
      <c r="D91" s="43" t="s">
        <v>131</v>
      </c>
      <c r="E91" s="44" t="s">
        <v>62</v>
      </c>
      <c r="F91" s="45" t="s">
        <v>195</v>
      </c>
      <c r="G91" s="43" t="s">
        <v>77</v>
      </c>
      <c r="H91" s="43" t="s">
        <v>77</v>
      </c>
      <c r="I91" s="38" t="s">
        <v>196</v>
      </c>
      <c r="J91" s="59" t="s">
        <v>25</v>
      </c>
      <c r="K91" s="60" t="s">
        <v>197</v>
      </c>
    </row>
    <row r="92" spans="1:11" ht="31.5" customHeight="1" x14ac:dyDescent="0.25">
      <c r="A92" s="32">
        <v>46196</v>
      </c>
      <c r="B92" s="33" t="s">
        <v>101</v>
      </c>
      <c r="C92" s="48" t="s">
        <v>60</v>
      </c>
      <c r="D92" s="35" t="s">
        <v>165</v>
      </c>
      <c r="E92" s="36" t="s">
        <v>62</v>
      </c>
      <c r="F92" s="37" t="s">
        <v>198</v>
      </c>
      <c r="G92" s="35" t="s">
        <v>77</v>
      </c>
      <c r="H92" s="35" t="s">
        <v>77</v>
      </c>
      <c r="I92" s="49" t="s">
        <v>160</v>
      </c>
      <c r="J92" s="35"/>
      <c r="K92" s="35"/>
    </row>
    <row r="93" spans="1:11" ht="31.5" customHeight="1" x14ac:dyDescent="0.25">
      <c r="A93" s="41">
        <v>46196</v>
      </c>
      <c r="B93" s="42" t="s">
        <v>26</v>
      </c>
      <c r="C93" s="51" t="s">
        <v>123</v>
      </c>
      <c r="D93" s="43" t="s">
        <v>199</v>
      </c>
      <c r="E93" s="44" t="s">
        <v>34</v>
      </c>
      <c r="F93" s="45" t="s">
        <v>200</v>
      </c>
      <c r="G93" s="43" t="s">
        <v>77</v>
      </c>
      <c r="H93" s="43" t="s">
        <v>77</v>
      </c>
      <c r="I93" s="53" t="s">
        <v>36</v>
      </c>
      <c r="J93" s="43"/>
      <c r="K93" s="43"/>
    </row>
    <row r="94" spans="1:11" ht="31.5" customHeight="1" x14ac:dyDescent="0.25">
      <c r="A94" s="32">
        <v>46196</v>
      </c>
      <c r="B94" s="33" t="s">
        <v>26</v>
      </c>
      <c r="C94" s="48" t="s">
        <v>32</v>
      </c>
      <c r="D94" s="35" t="s">
        <v>201</v>
      </c>
      <c r="E94" s="36" t="s">
        <v>170</v>
      </c>
      <c r="F94" s="37" t="s">
        <v>171</v>
      </c>
      <c r="G94" s="35" t="s">
        <v>77</v>
      </c>
      <c r="H94" s="35" t="s">
        <v>77</v>
      </c>
      <c r="I94" s="49" t="s">
        <v>86</v>
      </c>
      <c r="J94" s="35"/>
      <c r="K94" s="35"/>
    </row>
    <row r="95" spans="1:11" ht="31.5" customHeight="1" x14ac:dyDescent="0.25">
      <c r="A95" s="41">
        <v>46196</v>
      </c>
      <c r="B95" s="42" t="s">
        <v>107</v>
      </c>
      <c r="C95" s="48" t="s">
        <v>32</v>
      </c>
      <c r="D95" s="43" t="s">
        <v>184</v>
      </c>
      <c r="E95" s="44" t="s">
        <v>109</v>
      </c>
      <c r="F95" s="45" t="s">
        <v>133</v>
      </c>
      <c r="G95" s="43" t="s">
        <v>77</v>
      </c>
      <c r="H95" s="43" t="s">
        <v>77</v>
      </c>
      <c r="I95" s="49" t="s">
        <v>86</v>
      </c>
      <c r="J95" s="43"/>
      <c r="K95" s="43"/>
    </row>
    <row r="96" spans="1:11" ht="31.5" customHeight="1" x14ac:dyDescent="0.25">
      <c r="A96" s="32">
        <v>46196</v>
      </c>
      <c r="B96" s="33" t="s">
        <v>107</v>
      </c>
      <c r="C96" s="48" t="s">
        <v>32</v>
      </c>
      <c r="D96" s="35" t="s">
        <v>185</v>
      </c>
      <c r="E96" s="36" t="s">
        <v>109</v>
      </c>
      <c r="F96" s="37" t="s">
        <v>171</v>
      </c>
      <c r="G96" s="35" t="s">
        <v>77</v>
      </c>
      <c r="H96" s="35" t="s">
        <v>77</v>
      </c>
      <c r="I96" s="38" t="s">
        <v>42</v>
      </c>
      <c r="J96" s="35"/>
      <c r="K96" s="35"/>
    </row>
    <row r="97" spans="1:11" ht="31.5" customHeight="1" x14ac:dyDescent="0.25">
      <c r="A97" s="41">
        <v>46197</v>
      </c>
      <c r="B97" s="42" t="s">
        <v>37</v>
      </c>
      <c r="C97" s="51" t="s">
        <v>38</v>
      </c>
      <c r="D97" s="43" t="s">
        <v>39</v>
      </c>
      <c r="E97" s="44" t="s">
        <v>40</v>
      </c>
      <c r="F97" s="45" t="s">
        <v>186</v>
      </c>
      <c r="G97" s="43" t="s">
        <v>77</v>
      </c>
      <c r="H97" s="43" t="s">
        <v>77</v>
      </c>
      <c r="I97" s="38" t="s">
        <v>42</v>
      </c>
      <c r="J97" s="59" t="s">
        <v>25</v>
      </c>
      <c r="K97" s="60" t="s">
        <v>187</v>
      </c>
    </row>
    <row r="98" spans="1:11" ht="31.5" customHeight="1" x14ac:dyDescent="0.25">
      <c r="A98" s="32">
        <v>46197</v>
      </c>
      <c r="B98" s="33" t="s">
        <v>37</v>
      </c>
      <c r="C98" s="51" t="s">
        <v>38</v>
      </c>
      <c r="D98" s="35" t="s">
        <v>39</v>
      </c>
      <c r="E98" s="36" t="s">
        <v>40</v>
      </c>
      <c r="F98" s="37" t="s">
        <v>202</v>
      </c>
      <c r="G98" s="35" t="s">
        <v>77</v>
      </c>
      <c r="H98" s="35" t="s">
        <v>77</v>
      </c>
      <c r="I98" s="38" t="s">
        <v>42</v>
      </c>
      <c r="J98" s="59" t="s">
        <v>25</v>
      </c>
      <c r="K98" s="60" t="s">
        <v>203</v>
      </c>
    </row>
    <row r="99" spans="1:11" ht="31.5" customHeight="1" x14ac:dyDescent="0.25">
      <c r="A99" s="41">
        <v>46197</v>
      </c>
      <c r="B99" s="42" t="s">
        <v>37</v>
      </c>
      <c r="C99" s="51" t="s">
        <v>38</v>
      </c>
      <c r="D99" s="43" t="s">
        <v>39</v>
      </c>
      <c r="E99" s="44" t="s">
        <v>40</v>
      </c>
      <c r="F99" s="45" t="s">
        <v>204</v>
      </c>
      <c r="G99" s="43" t="s">
        <v>77</v>
      </c>
      <c r="H99" s="43" t="s">
        <v>77</v>
      </c>
      <c r="I99" s="38" t="s">
        <v>42</v>
      </c>
      <c r="J99" s="43"/>
      <c r="K99" s="43"/>
    </row>
    <row r="100" spans="1:11" ht="31.5" customHeight="1" x14ac:dyDescent="0.25">
      <c r="A100" s="32">
        <v>46197</v>
      </c>
      <c r="B100" s="33" t="s">
        <v>37</v>
      </c>
      <c r="C100" s="48" t="s">
        <v>32</v>
      </c>
      <c r="D100" s="35" t="s">
        <v>39</v>
      </c>
      <c r="E100" s="36" t="s">
        <v>40</v>
      </c>
      <c r="F100" s="37" t="s">
        <v>205</v>
      </c>
      <c r="G100" s="35" t="s">
        <v>77</v>
      </c>
      <c r="H100" s="35" t="s">
        <v>77</v>
      </c>
      <c r="I100" s="38" t="s">
        <v>42</v>
      </c>
      <c r="J100" s="35"/>
      <c r="K100" s="35"/>
    </row>
    <row r="101" spans="1:11" ht="31.5" customHeight="1" x14ac:dyDescent="0.25">
      <c r="A101" s="41">
        <v>46197</v>
      </c>
      <c r="B101" s="42" t="s">
        <v>37</v>
      </c>
      <c r="C101" s="48" t="s">
        <v>32</v>
      </c>
      <c r="D101" s="43" t="s">
        <v>39</v>
      </c>
      <c r="E101" s="44" t="s">
        <v>40</v>
      </c>
      <c r="F101" s="45" t="s">
        <v>206</v>
      </c>
      <c r="G101" s="43" t="s">
        <v>77</v>
      </c>
      <c r="H101" s="43" t="s">
        <v>77</v>
      </c>
      <c r="I101" s="53" t="s">
        <v>44</v>
      </c>
      <c r="J101" s="43"/>
      <c r="K101" s="43"/>
    </row>
    <row r="102" spans="1:11" ht="31.5" customHeight="1" x14ac:dyDescent="0.25">
      <c r="A102" s="32">
        <v>46197</v>
      </c>
      <c r="B102" s="33" t="s">
        <v>37</v>
      </c>
      <c r="C102" s="48" t="s">
        <v>32</v>
      </c>
      <c r="D102" s="35" t="s">
        <v>119</v>
      </c>
      <c r="E102" s="36" t="s">
        <v>40</v>
      </c>
      <c r="F102" s="37" t="s">
        <v>207</v>
      </c>
      <c r="G102" s="35" t="s">
        <v>77</v>
      </c>
      <c r="H102" s="35" t="s">
        <v>77</v>
      </c>
      <c r="I102" s="53" t="s">
        <v>44</v>
      </c>
      <c r="J102" s="35"/>
      <c r="K102" s="35"/>
    </row>
    <row r="103" spans="1:11" ht="31.5" customHeight="1" x14ac:dyDescent="0.25">
      <c r="A103" s="41">
        <v>46197</v>
      </c>
      <c r="B103" s="42" t="s">
        <v>31</v>
      </c>
      <c r="C103" s="48" t="s">
        <v>32</v>
      </c>
      <c r="D103" s="43" t="s">
        <v>208</v>
      </c>
      <c r="E103" s="44" t="s">
        <v>34</v>
      </c>
      <c r="F103" s="45" t="s">
        <v>173</v>
      </c>
      <c r="G103" s="43" t="s">
        <v>77</v>
      </c>
      <c r="H103" s="43" t="s">
        <v>77</v>
      </c>
      <c r="I103" s="38" t="s">
        <v>42</v>
      </c>
      <c r="J103" s="43"/>
      <c r="K103" s="43"/>
    </row>
    <row r="104" spans="1:11" ht="31.5" customHeight="1" x14ac:dyDescent="0.25">
      <c r="A104" s="32">
        <v>46197</v>
      </c>
      <c r="B104" s="33" t="s">
        <v>101</v>
      </c>
      <c r="C104" s="48" t="s">
        <v>60</v>
      </c>
      <c r="D104" s="35" t="s">
        <v>209</v>
      </c>
      <c r="E104" s="36" t="s">
        <v>62</v>
      </c>
      <c r="F104" s="37" t="s">
        <v>210</v>
      </c>
      <c r="G104" s="35" t="s">
        <v>77</v>
      </c>
      <c r="H104" s="35" t="s">
        <v>77</v>
      </c>
      <c r="I104" s="53" t="s">
        <v>155</v>
      </c>
      <c r="J104" s="35"/>
      <c r="K104" s="35"/>
    </row>
    <row r="105" spans="1:11" ht="31.5" customHeight="1" x14ac:dyDescent="0.25">
      <c r="A105" s="41">
        <v>46197</v>
      </c>
      <c r="B105" s="42" t="s">
        <v>101</v>
      </c>
      <c r="C105" s="48" t="s">
        <v>60</v>
      </c>
      <c r="D105" s="43" t="s">
        <v>209</v>
      </c>
      <c r="E105" s="44" t="s">
        <v>62</v>
      </c>
      <c r="F105" s="45" t="s">
        <v>211</v>
      </c>
      <c r="G105" s="43" t="s">
        <v>77</v>
      </c>
      <c r="H105" s="43" t="s">
        <v>77</v>
      </c>
      <c r="I105" s="53" t="s">
        <v>155</v>
      </c>
      <c r="J105" s="43"/>
      <c r="K105" s="43"/>
    </row>
    <row r="106" spans="1:11" ht="31.5" customHeight="1" x14ac:dyDescent="0.25">
      <c r="A106" s="32">
        <v>46197</v>
      </c>
      <c r="B106" s="33" t="s">
        <v>101</v>
      </c>
      <c r="C106" s="48" t="s">
        <v>60</v>
      </c>
      <c r="D106" s="35" t="s">
        <v>165</v>
      </c>
      <c r="E106" s="36" t="s">
        <v>62</v>
      </c>
      <c r="F106" s="37" t="s">
        <v>212</v>
      </c>
      <c r="G106" s="35" t="s">
        <v>77</v>
      </c>
      <c r="H106" s="35" t="s">
        <v>77</v>
      </c>
      <c r="I106" s="49" t="s">
        <v>160</v>
      </c>
      <c r="J106" s="35"/>
      <c r="K106" s="35"/>
    </row>
    <row r="107" spans="1:11" ht="31.5" customHeight="1" x14ac:dyDescent="0.25">
      <c r="A107" s="41">
        <v>46197</v>
      </c>
      <c r="B107" s="42" t="s">
        <v>59</v>
      </c>
      <c r="C107" s="48" t="s">
        <v>60</v>
      </c>
      <c r="D107" s="43" t="s">
        <v>61</v>
      </c>
      <c r="E107" s="44" t="s">
        <v>125</v>
      </c>
      <c r="F107" s="45" t="s">
        <v>213</v>
      </c>
      <c r="G107" s="43" t="s">
        <v>77</v>
      </c>
      <c r="H107" s="43" t="s">
        <v>77</v>
      </c>
      <c r="I107" s="53" t="s">
        <v>127</v>
      </c>
      <c r="J107" s="43"/>
      <c r="K107" s="43"/>
    </row>
    <row r="108" spans="1:11" ht="31.5" customHeight="1" x14ac:dyDescent="0.25">
      <c r="A108" s="32">
        <v>46197</v>
      </c>
      <c r="B108" s="33" t="s">
        <v>59</v>
      </c>
      <c r="C108" s="48" t="s">
        <v>60</v>
      </c>
      <c r="D108" s="35" t="s">
        <v>61</v>
      </c>
      <c r="E108" s="36" t="s">
        <v>125</v>
      </c>
      <c r="F108" s="37" t="s">
        <v>214</v>
      </c>
      <c r="G108" s="35" t="s">
        <v>77</v>
      </c>
      <c r="H108" s="35" t="s">
        <v>77</v>
      </c>
      <c r="I108" s="38" t="s">
        <v>42</v>
      </c>
      <c r="J108" s="35"/>
      <c r="K108" s="35"/>
    </row>
    <row r="109" spans="1:11" ht="31.5" customHeight="1" x14ac:dyDescent="0.25">
      <c r="A109" s="41">
        <v>46197</v>
      </c>
      <c r="B109" s="42" t="s">
        <v>107</v>
      </c>
      <c r="C109" s="48" t="s">
        <v>32</v>
      </c>
      <c r="D109" s="43" t="s">
        <v>185</v>
      </c>
      <c r="E109" s="44" t="s">
        <v>109</v>
      </c>
      <c r="F109" s="45" t="s">
        <v>171</v>
      </c>
      <c r="G109" s="43" t="s">
        <v>77</v>
      </c>
      <c r="H109" s="43" t="s">
        <v>77</v>
      </c>
      <c r="I109" s="38" t="s">
        <v>42</v>
      </c>
      <c r="J109" s="43"/>
      <c r="K109" s="43"/>
    </row>
    <row r="110" spans="1:11" ht="31.5" customHeight="1" x14ac:dyDescent="0.25">
      <c r="A110" s="32">
        <v>46197</v>
      </c>
      <c r="B110" s="33" t="s">
        <v>26</v>
      </c>
      <c r="C110" s="51" t="s">
        <v>38</v>
      </c>
      <c r="D110" s="35" t="s">
        <v>28</v>
      </c>
      <c r="E110" s="36" t="s">
        <v>34</v>
      </c>
      <c r="F110" s="37" t="s">
        <v>215</v>
      </c>
      <c r="G110" s="35" t="s">
        <v>77</v>
      </c>
      <c r="H110" s="35" t="s">
        <v>77</v>
      </c>
      <c r="I110" s="49" t="s">
        <v>86</v>
      </c>
      <c r="J110" s="35"/>
      <c r="K110" s="35"/>
    </row>
    <row r="111" spans="1:11" ht="31.5" customHeight="1" x14ac:dyDescent="0.25">
      <c r="A111" s="41">
        <v>46197</v>
      </c>
      <c r="B111" s="42" t="s">
        <v>26</v>
      </c>
      <c r="C111" s="48" t="s">
        <v>32</v>
      </c>
      <c r="D111" s="43" t="s">
        <v>201</v>
      </c>
      <c r="E111" s="44" t="s">
        <v>170</v>
      </c>
      <c r="F111" s="45" t="s">
        <v>171</v>
      </c>
      <c r="G111" s="43" t="s">
        <v>77</v>
      </c>
      <c r="H111" s="43" t="s">
        <v>77</v>
      </c>
      <c r="I111" s="49" t="s">
        <v>86</v>
      </c>
      <c r="J111" s="43"/>
      <c r="K111" s="43"/>
    </row>
    <row r="112" spans="1:11" ht="31.5" customHeight="1" x14ac:dyDescent="0.25">
      <c r="A112" s="32">
        <v>46198</v>
      </c>
      <c r="B112" s="33" t="s">
        <v>37</v>
      </c>
      <c r="C112" s="51" t="s">
        <v>38</v>
      </c>
      <c r="D112" s="35" t="s">
        <v>39</v>
      </c>
      <c r="E112" s="36" t="s">
        <v>40</v>
      </c>
      <c r="F112" s="37" t="s">
        <v>186</v>
      </c>
      <c r="G112" s="35" t="s">
        <v>77</v>
      </c>
      <c r="H112" s="35" t="s">
        <v>77</v>
      </c>
      <c r="I112" s="38" t="s">
        <v>42</v>
      </c>
      <c r="J112" s="59" t="s">
        <v>25</v>
      </c>
      <c r="K112" s="60" t="s">
        <v>187</v>
      </c>
    </row>
    <row r="113" spans="1:11" ht="31.5" customHeight="1" x14ac:dyDescent="0.25">
      <c r="A113" s="41">
        <v>46198</v>
      </c>
      <c r="B113" s="42" t="s">
        <v>37</v>
      </c>
      <c r="C113" s="51" t="s">
        <v>38</v>
      </c>
      <c r="D113" s="43" t="s">
        <v>39</v>
      </c>
      <c r="E113" s="44" t="s">
        <v>40</v>
      </c>
      <c r="F113" s="45" t="s">
        <v>41</v>
      </c>
      <c r="G113" s="43" t="s">
        <v>77</v>
      </c>
      <c r="H113" s="43" t="s">
        <v>77</v>
      </c>
      <c r="I113" s="38" t="s">
        <v>42</v>
      </c>
      <c r="J113" s="59" t="s">
        <v>25</v>
      </c>
      <c r="K113" s="60" t="s">
        <v>187</v>
      </c>
    </row>
    <row r="114" spans="1:11" ht="31.5" customHeight="1" x14ac:dyDescent="0.25">
      <c r="A114" s="32">
        <v>46198</v>
      </c>
      <c r="B114" s="33" t="s">
        <v>37</v>
      </c>
      <c r="C114" s="51" t="s">
        <v>38</v>
      </c>
      <c r="D114" s="35" t="s">
        <v>39</v>
      </c>
      <c r="E114" s="36" t="s">
        <v>40</v>
      </c>
      <c r="F114" s="37" t="s">
        <v>204</v>
      </c>
      <c r="G114" s="35" t="s">
        <v>77</v>
      </c>
      <c r="H114" s="35" t="s">
        <v>77</v>
      </c>
      <c r="I114" s="38" t="s">
        <v>42</v>
      </c>
      <c r="J114" s="59" t="s">
        <v>25</v>
      </c>
      <c r="K114" s="60" t="s">
        <v>216</v>
      </c>
    </row>
    <row r="115" spans="1:11" ht="31.5" customHeight="1" x14ac:dyDescent="0.25">
      <c r="A115" s="41">
        <v>46198</v>
      </c>
      <c r="B115" s="42" t="s">
        <v>37</v>
      </c>
      <c r="C115" s="51" t="s">
        <v>38</v>
      </c>
      <c r="D115" s="43" t="s">
        <v>39</v>
      </c>
      <c r="E115" s="44" t="s">
        <v>40</v>
      </c>
      <c r="F115" s="45" t="s">
        <v>217</v>
      </c>
      <c r="G115" s="43" t="s">
        <v>77</v>
      </c>
      <c r="H115" s="43" t="s">
        <v>77</v>
      </c>
      <c r="I115" s="38" t="s">
        <v>42</v>
      </c>
      <c r="J115" s="43"/>
      <c r="K115" s="43"/>
    </row>
    <row r="116" spans="1:11" ht="31.5" customHeight="1" x14ac:dyDescent="0.25">
      <c r="A116" s="32">
        <v>46198</v>
      </c>
      <c r="B116" s="33" t="s">
        <v>37</v>
      </c>
      <c r="C116" s="48" t="s">
        <v>32</v>
      </c>
      <c r="D116" s="35" t="s">
        <v>39</v>
      </c>
      <c r="E116" s="36" t="s">
        <v>40</v>
      </c>
      <c r="F116" s="37" t="s">
        <v>205</v>
      </c>
      <c r="G116" s="35" t="s">
        <v>77</v>
      </c>
      <c r="H116" s="35" t="s">
        <v>77</v>
      </c>
      <c r="I116" s="38" t="s">
        <v>42</v>
      </c>
      <c r="J116" s="35"/>
      <c r="K116" s="35"/>
    </row>
    <row r="117" spans="1:11" ht="31.5" customHeight="1" x14ac:dyDescent="0.25">
      <c r="A117" s="41">
        <v>46198</v>
      </c>
      <c r="B117" s="42" t="s">
        <v>37</v>
      </c>
      <c r="C117" s="51" t="s">
        <v>123</v>
      </c>
      <c r="D117" s="43" t="s">
        <v>39</v>
      </c>
      <c r="E117" s="44" t="s">
        <v>40</v>
      </c>
      <c r="F117" s="45" t="s">
        <v>218</v>
      </c>
      <c r="G117" s="43" t="s">
        <v>77</v>
      </c>
      <c r="H117" s="43" t="s">
        <v>77</v>
      </c>
      <c r="I117" s="53" t="s">
        <v>44</v>
      </c>
      <c r="J117" s="43"/>
      <c r="K117" s="43"/>
    </row>
    <row r="118" spans="1:11" ht="31.5" customHeight="1" x14ac:dyDescent="0.25">
      <c r="A118" s="32">
        <v>46198</v>
      </c>
      <c r="B118" s="33" t="s">
        <v>37</v>
      </c>
      <c r="C118" s="51" t="s">
        <v>38</v>
      </c>
      <c r="D118" s="35" t="s">
        <v>39</v>
      </c>
      <c r="E118" s="36" t="s">
        <v>40</v>
      </c>
      <c r="F118" s="37" t="s">
        <v>219</v>
      </c>
      <c r="G118" s="35" t="s">
        <v>77</v>
      </c>
      <c r="H118" s="35" t="s">
        <v>77</v>
      </c>
      <c r="I118" s="53" t="s">
        <v>44</v>
      </c>
      <c r="J118" s="35"/>
      <c r="K118" s="35"/>
    </row>
    <row r="119" spans="1:11" ht="31.5" customHeight="1" x14ac:dyDescent="0.25">
      <c r="A119" s="41">
        <v>46198</v>
      </c>
      <c r="B119" s="42" t="s">
        <v>26</v>
      </c>
      <c r="C119" s="51" t="s">
        <v>38</v>
      </c>
      <c r="D119" s="43" t="s">
        <v>28</v>
      </c>
      <c r="E119" s="44" t="s">
        <v>34</v>
      </c>
      <c r="F119" s="45" t="s">
        <v>215</v>
      </c>
      <c r="G119" s="43" t="s">
        <v>77</v>
      </c>
      <c r="H119" s="43" t="s">
        <v>77</v>
      </c>
      <c r="I119" s="49" t="s">
        <v>86</v>
      </c>
      <c r="J119" s="43"/>
      <c r="K119" s="43"/>
    </row>
    <row r="120" spans="1:11" ht="31.5" customHeight="1" x14ac:dyDescent="0.25">
      <c r="A120" s="32">
        <v>46198</v>
      </c>
      <c r="B120" s="33" t="s">
        <v>26</v>
      </c>
      <c r="C120" s="48" t="s">
        <v>32</v>
      </c>
      <c r="D120" s="35" t="s">
        <v>201</v>
      </c>
      <c r="E120" s="36" t="s">
        <v>170</v>
      </c>
      <c r="F120" s="37" t="s">
        <v>171</v>
      </c>
      <c r="G120" s="35" t="s">
        <v>77</v>
      </c>
      <c r="H120" s="35" t="s">
        <v>77</v>
      </c>
      <c r="I120" s="49" t="s">
        <v>86</v>
      </c>
      <c r="J120" s="35"/>
      <c r="K120" s="35"/>
    </row>
    <row r="121" spans="1:11" ht="31.5" customHeight="1" x14ac:dyDescent="0.25">
      <c r="A121" s="41">
        <v>46198</v>
      </c>
      <c r="B121" s="42" t="s">
        <v>59</v>
      </c>
      <c r="C121" s="48" t="s">
        <v>60</v>
      </c>
      <c r="D121" s="43" t="s">
        <v>65</v>
      </c>
      <c r="E121" s="44" t="s">
        <v>66</v>
      </c>
      <c r="F121" s="45" t="s">
        <v>220</v>
      </c>
      <c r="G121" s="43" t="s">
        <v>77</v>
      </c>
      <c r="H121" s="43" t="s">
        <v>77</v>
      </c>
      <c r="I121" s="38" t="s">
        <v>42</v>
      </c>
      <c r="J121" s="43"/>
      <c r="K121" s="43"/>
    </row>
    <row r="122" spans="1:11" ht="31.5" customHeight="1" x14ac:dyDescent="0.25">
      <c r="A122" s="32">
        <v>46198</v>
      </c>
      <c r="B122" s="33" t="s">
        <v>101</v>
      </c>
      <c r="C122" s="48" t="s">
        <v>60</v>
      </c>
      <c r="D122" s="35" t="s">
        <v>165</v>
      </c>
      <c r="E122" s="36" t="s">
        <v>62</v>
      </c>
      <c r="F122" s="37" t="s">
        <v>166</v>
      </c>
      <c r="G122" s="35" t="s">
        <v>77</v>
      </c>
      <c r="H122" s="35" t="s">
        <v>77</v>
      </c>
      <c r="I122" s="49" t="s">
        <v>160</v>
      </c>
      <c r="J122" s="35"/>
      <c r="K122" s="35"/>
    </row>
    <row r="123" spans="1:11" ht="31.5" customHeight="1" x14ac:dyDescent="0.25">
      <c r="A123" s="41">
        <v>46198</v>
      </c>
      <c r="B123" s="42" t="s">
        <v>101</v>
      </c>
      <c r="C123" s="48" t="s">
        <v>60</v>
      </c>
      <c r="D123" s="43" t="s">
        <v>221</v>
      </c>
      <c r="E123" s="44" t="s">
        <v>62</v>
      </c>
      <c r="F123" s="45" t="s">
        <v>222</v>
      </c>
      <c r="G123" s="43" t="s">
        <v>77</v>
      </c>
      <c r="H123" s="43" t="s">
        <v>77</v>
      </c>
      <c r="I123" s="49" t="s">
        <v>160</v>
      </c>
      <c r="J123" s="43"/>
      <c r="K123" s="43"/>
    </row>
    <row r="124" spans="1:11" ht="31.5" customHeight="1" x14ac:dyDescent="0.25">
      <c r="A124" s="32">
        <v>46198</v>
      </c>
      <c r="B124" s="33" t="s">
        <v>101</v>
      </c>
      <c r="C124" s="48" t="s">
        <v>60</v>
      </c>
      <c r="D124" s="35" t="s">
        <v>131</v>
      </c>
      <c r="E124" s="36" t="s">
        <v>62</v>
      </c>
      <c r="F124" s="37" t="s">
        <v>223</v>
      </c>
      <c r="G124" s="35" t="s">
        <v>77</v>
      </c>
      <c r="H124" s="35" t="s">
        <v>77</v>
      </c>
      <c r="I124" s="38" t="s">
        <v>42</v>
      </c>
      <c r="J124" s="35"/>
      <c r="K124" s="35"/>
    </row>
    <row r="125" spans="1:11" ht="31.5" customHeight="1" x14ac:dyDescent="0.25">
      <c r="A125" s="41">
        <v>46198</v>
      </c>
      <c r="B125" s="42" t="s">
        <v>107</v>
      </c>
      <c r="C125" s="48" t="s">
        <v>32</v>
      </c>
      <c r="D125" s="43" t="s">
        <v>185</v>
      </c>
      <c r="E125" s="44" t="s">
        <v>109</v>
      </c>
      <c r="F125" s="45" t="s">
        <v>224</v>
      </c>
      <c r="G125" s="43" t="s">
        <v>77</v>
      </c>
      <c r="H125" s="43" t="s">
        <v>77</v>
      </c>
      <c r="I125" s="38" t="s">
        <v>42</v>
      </c>
      <c r="J125" s="43"/>
      <c r="K125" s="43"/>
    </row>
    <row r="126" spans="1:11" ht="31.5" customHeight="1" x14ac:dyDescent="0.25">
      <c r="A126" s="32">
        <v>46198</v>
      </c>
      <c r="B126" s="33" t="s">
        <v>107</v>
      </c>
      <c r="C126" s="48" t="s">
        <v>32</v>
      </c>
      <c r="D126" s="35" t="s">
        <v>108</v>
      </c>
      <c r="E126" s="36" t="s">
        <v>109</v>
      </c>
      <c r="F126" s="37" t="s">
        <v>225</v>
      </c>
      <c r="G126" s="35" t="s">
        <v>77</v>
      </c>
      <c r="H126" s="35" t="s">
        <v>77</v>
      </c>
      <c r="I126" s="38" t="s">
        <v>42</v>
      </c>
      <c r="J126" s="35"/>
      <c r="K126" s="35"/>
    </row>
    <row r="127" spans="1:11" ht="31.5" customHeight="1" x14ac:dyDescent="0.25">
      <c r="A127" s="41">
        <v>46198</v>
      </c>
      <c r="B127" s="42" t="s">
        <v>31</v>
      </c>
      <c r="C127" s="48" t="s">
        <v>32</v>
      </c>
      <c r="D127" s="43" t="s">
        <v>184</v>
      </c>
      <c r="E127" s="44" t="s">
        <v>34</v>
      </c>
      <c r="F127" s="45" t="s">
        <v>173</v>
      </c>
      <c r="G127" s="43" t="s">
        <v>77</v>
      </c>
      <c r="H127" s="43" t="s">
        <v>77</v>
      </c>
      <c r="I127" s="38" t="s">
        <v>42</v>
      </c>
      <c r="J127" s="43"/>
      <c r="K127" s="43"/>
    </row>
    <row r="128" spans="1:11" ht="31.5" customHeight="1" x14ac:dyDescent="0.25">
      <c r="A128" s="32">
        <v>46199</v>
      </c>
      <c r="B128" s="33" t="s">
        <v>26</v>
      </c>
      <c r="C128" s="51" t="s">
        <v>38</v>
      </c>
      <c r="D128" s="35" t="s">
        <v>28</v>
      </c>
      <c r="E128" s="36" t="s">
        <v>34</v>
      </c>
      <c r="F128" s="37" t="s">
        <v>226</v>
      </c>
      <c r="G128" s="35" t="s">
        <v>77</v>
      </c>
      <c r="H128" s="35" t="s">
        <v>77</v>
      </c>
      <c r="I128" s="49" t="s">
        <v>86</v>
      </c>
      <c r="J128" s="35"/>
      <c r="K128" s="35"/>
    </row>
    <row r="129" spans="1:11" ht="31.5" customHeight="1" x14ac:dyDescent="0.25">
      <c r="A129" s="41">
        <v>46199</v>
      </c>
      <c r="B129" s="42" t="s">
        <v>26</v>
      </c>
      <c r="C129" s="48" t="s">
        <v>32</v>
      </c>
      <c r="D129" s="43" t="s">
        <v>201</v>
      </c>
      <c r="E129" s="44" t="s">
        <v>170</v>
      </c>
      <c r="F129" s="45" t="s">
        <v>171</v>
      </c>
      <c r="G129" s="43" t="s">
        <v>77</v>
      </c>
      <c r="H129" s="43" t="s">
        <v>77</v>
      </c>
      <c r="I129" s="49" t="s">
        <v>86</v>
      </c>
      <c r="J129" s="43"/>
      <c r="K129" s="43"/>
    </row>
    <row r="130" spans="1:11" ht="31.5" customHeight="1" x14ac:dyDescent="0.25">
      <c r="A130" s="32">
        <v>46199</v>
      </c>
      <c r="B130" s="33" t="s">
        <v>101</v>
      </c>
      <c r="C130" s="48" t="s">
        <v>60</v>
      </c>
      <c r="D130" s="35" t="s">
        <v>131</v>
      </c>
      <c r="E130" s="36" t="s">
        <v>62</v>
      </c>
      <c r="F130" s="37" t="s">
        <v>227</v>
      </c>
      <c r="G130" s="35" t="s">
        <v>77</v>
      </c>
      <c r="H130" s="35" t="s">
        <v>77</v>
      </c>
      <c r="I130" s="53" t="s">
        <v>155</v>
      </c>
      <c r="J130" s="35"/>
      <c r="K130" s="35"/>
    </row>
    <row r="131" spans="1:11" ht="31.5" customHeight="1" x14ac:dyDescent="0.25">
      <c r="A131" s="41">
        <v>46199</v>
      </c>
      <c r="B131" s="42" t="s">
        <v>101</v>
      </c>
      <c r="C131" s="48" t="s">
        <v>60</v>
      </c>
      <c r="D131" s="43" t="s">
        <v>165</v>
      </c>
      <c r="E131" s="44" t="s">
        <v>62</v>
      </c>
      <c r="F131" s="45" t="s">
        <v>228</v>
      </c>
      <c r="G131" s="43" t="s">
        <v>77</v>
      </c>
      <c r="H131" s="43" t="s">
        <v>77</v>
      </c>
      <c r="I131" s="38" t="s">
        <v>229</v>
      </c>
      <c r="J131" s="59" t="s">
        <v>25</v>
      </c>
      <c r="K131" s="60" t="s">
        <v>230</v>
      </c>
    </row>
    <row r="132" spans="1:11" ht="31.5" customHeight="1" x14ac:dyDescent="0.25">
      <c r="A132" s="32">
        <v>46199</v>
      </c>
      <c r="B132" s="33" t="s">
        <v>31</v>
      </c>
      <c r="C132" s="48" t="s">
        <v>32</v>
      </c>
      <c r="D132" s="35" t="s">
        <v>231</v>
      </c>
      <c r="E132" s="36" t="s">
        <v>34</v>
      </c>
      <c r="F132" s="37" t="s">
        <v>173</v>
      </c>
      <c r="G132" s="35" t="s">
        <v>77</v>
      </c>
      <c r="H132" s="35" t="s">
        <v>77</v>
      </c>
      <c r="I132" s="38" t="s">
        <v>42</v>
      </c>
      <c r="J132" s="35"/>
      <c r="K132" s="35"/>
    </row>
    <row r="133" spans="1:11" ht="31.5" customHeight="1" x14ac:dyDescent="0.25">
      <c r="A133" s="41">
        <v>46199</v>
      </c>
      <c r="B133" s="42" t="s">
        <v>37</v>
      </c>
      <c r="C133" s="51" t="s">
        <v>38</v>
      </c>
      <c r="D133" s="43" t="s">
        <v>39</v>
      </c>
      <c r="E133" s="44" t="s">
        <v>40</v>
      </c>
      <c r="F133" s="45" t="s">
        <v>41</v>
      </c>
      <c r="G133" s="43" t="s">
        <v>77</v>
      </c>
      <c r="H133" s="43" t="s">
        <v>77</v>
      </c>
      <c r="I133" s="38" t="s">
        <v>42</v>
      </c>
      <c r="J133" s="43"/>
      <c r="K133" s="43"/>
    </row>
    <row r="134" spans="1:11" ht="31.5" customHeight="1" x14ac:dyDescent="0.25">
      <c r="A134" s="32">
        <v>46199</v>
      </c>
      <c r="B134" s="33" t="s">
        <v>37</v>
      </c>
      <c r="C134" s="51" t="s">
        <v>38</v>
      </c>
      <c r="D134" s="35" t="s">
        <v>39</v>
      </c>
      <c r="E134" s="36" t="s">
        <v>40</v>
      </c>
      <c r="F134" s="37" t="s">
        <v>204</v>
      </c>
      <c r="G134" s="35" t="s">
        <v>77</v>
      </c>
      <c r="H134" s="35" t="s">
        <v>77</v>
      </c>
      <c r="I134" s="38" t="s">
        <v>42</v>
      </c>
      <c r="J134" s="59" t="s">
        <v>25</v>
      </c>
      <c r="K134" s="60" t="s">
        <v>232</v>
      </c>
    </row>
    <row r="135" spans="1:11" ht="31.5" customHeight="1" x14ac:dyDescent="0.25">
      <c r="A135" s="41">
        <v>46199</v>
      </c>
      <c r="B135" s="42" t="s">
        <v>37</v>
      </c>
      <c r="C135" s="51" t="s">
        <v>38</v>
      </c>
      <c r="D135" s="43" t="s">
        <v>39</v>
      </c>
      <c r="E135" s="44" t="s">
        <v>40</v>
      </c>
      <c r="F135" s="45" t="s">
        <v>217</v>
      </c>
      <c r="G135" s="43" t="s">
        <v>77</v>
      </c>
      <c r="H135" s="43" t="s">
        <v>77</v>
      </c>
      <c r="I135" s="38" t="s">
        <v>42</v>
      </c>
      <c r="J135" s="43"/>
      <c r="K135" s="43"/>
    </row>
    <row r="136" spans="1:11" ht="31.5" customHeight="1" x14ac:dyDescent="0.25">
      <c r="A136" s="32">
        <v>46199</v>
      </c>
      <c r="B136" s="33" t="s">
        <v>37</v>
      </c>
      <c r="C136" s="48" t="s">
        <v>32</v>
      </c>
      <c r="D136" s="35" t="s">
        <v>39</v>
      </c>
      <c r="E136" s="36" t="s">
        <v>40</v>
      </c>
      <c r="F136" s="37" t="s">
        <v>233</v>
      </c>
      <c r="G136" s="35" t="s">
        <v>77</v>
      </c>
      <c r="H136" s="35" t="s">
        <v>77</v>
      </c>
      <c r="I136" s="38" t="s">
        <v>42</v>
      </c>
      <c r="J136" s="35"/>
      <c r="K136" s="35"/>
    </row>
    <row r="137" spans="1:11" ht="31.5" customHeight="1" x14ac:dyDescent="0.25">
      <c r="A137" s="41">
        <v>46199</v>
      </c>
      <c r="B137" s="42" t="s">
        <v>37</v>
      </c>
      <c r="C137" s="48" t="s">
        <v>32</v>
      </c>
      <c r="D137" s="43" t="s">
        <v>39</v>
      </c>
      <c r="E137" s="44" t="s">
        <v>40</v>
      </c>
      <c r="F137" s="45" t="s">
        <v>234</v>
      </c>
      <c r="G137" s="43" t="s">
        <v>77</v>
      </c>
      <c r="H137" s="43" t="s">
        <v>77</v>
      </c>
      <c r="I137" s="53" t="s">
        <v>44</v>
      </c>
      <c r="J137" s="43"/>
      <c r="K137" s="43"/>
    </row>
    <row r="138" spans="1:11" ht="31.5" customHeight="1" x14ac:dyDescent="0.25">
      <c r="A138" s="32">
        <v>46199</v>
      </c>
      <c r="B138" s="33" t="s">
        <v>37</v>
      </c>
      <c r="C138" s="50" t="s">
        <v>48</v>
      </c>
      <c r="D138" s="35" t="s">
        <v>39</v>
      </c>
      <c r="E138" s="36" t="s">
        <v>40</v>
      </c>
      <c r="F138" s="37" t="s">
        <v>49</v>
      </c>
      <c r="G138" s="35" t="s">
        <v>77</v>
      </c>
      <c r="H138" s="35" t="s">
        <v>77</v>
      </c>
      <c r="I138" s="38" t="s">
        <v>42</v>
      </c>
      <c r="J138" s="35"/>
      <c r="K138" s="35"/>
    </row>
    <row r="139" spans="1:11" ht="31.5" customHeight="1" x14ac:dyDescent="0.25">
      <c r="A139" s="41">
        <v>46199</v>
      </c>
      <c r="B139" s="42" t="s">
        <v>59</v>
      </c>
      <c r="C139" s="48" t="s">
        <v>60</v>
      </c>
      <c r="D139" s="43" t="s">
        <v>65</v>
      </c>
      <c r="E139" s="44" t="s">
        <v>235</v>
      </c>
      <c r="F139" s="45" t="s">
        <v>236</v>
      </c>
      <c r="G139" s="43" t="s">
        <v>77</v>
      </c>
      <c r="H139" s="43" t="s">
        <v>77</v>
      </c>
      <c r="I139" s="53" t="s">
        <v>64</v>
      </c>
      <c r="J139" s="43"/>
      <c r="K139" s="43"/>
    </row>
    <row r="140" spans="1:11" ht="31.5" customHeight="1" x14ac:dyDescent="0.25">
      <c r="A140" s="32">
        <v>46203</v>
      </c>
      <c r="B140" s="33" t="s">
        <v>26</v>
      </c>
      <c r="C140" s="52" t="s">
        <v>27</v>
      </c>
      <c r="D140" s="35" t="s">
        <v>28</v>
      </c>
      <c r="E140" s="36" t="s">
        <v>29</v>
      </c>
      <c r="F140" s="37" t="s">
        <v>30</v>
      </c>
      <c r="G140" s="35" t="s">
        <v>77</v>
      </c>
      <c r="H140" s="35" t="s">
        <v>77</v>
      </c>
      <c r="I140" s="61" t="s">
        <v>29</v>
      </c>
      <c r="J140" s="35"/>
      <c r="K140" s="35"/>
    </row>
    <row r="141" spans="1:11" ht="31.5" customHeight="1" x14ac:dyDescent="0.25">
      <c r="A141" s="41">
        <v>46203</v>
      </c>
      <c r="B141" s="42" t="s">
        <v>31</v>
      </c>
      <c r="C141" s="48" t="s">
        <v>32</v>
      </c>
      <c r="D141" s="43" t="s">
        <v>33</v>
      </c>
      <c r="E141" s="44" t="s">
        <v>34</v>
      </c>
      <c r="F141" s="45" t="s">
        <v>35</v>
      </c>
      <c r="G141" s="43" t="s">
        <v>77</v>
      </c>
      <c r="H141" s="43" t="s">
        <v>77</v>
      </c>
      <c r="I141" s="53" t="s">
        <v>36</v>
      </c>
      <c r="J141" s="43"/>
      <c r="K141" s="43"/>
    </row>
    <row r="142" spans="1:11" ht="31.5" customHeight="1" x14ac:dyDescent="0.25">
      <c r="A142" s="32">
        <v>46203</v>
      </c>
      <c r="B142" s="33" t="s">
        <v>37</v>
      </c>
      <c r="C142" s="51" t="s">
        <v>38</v>
      </c>
      <c r="D142" s="35" t="s">
        <v>39</v>
      </c>
      <c r="E142" s="36" t="s">
        <v>40</v>
      </c>
      <c r="F142" s="37" t="s">
        <v>41</v>
      </c>
      <c r="G142" s="35" t="s">
        <v>77</v>
      </c>
      <c r="H142" s="35" t="s">
        <v>77</v>
      </c>
      <c r="I142" s="38" t="s">
        <v>42</v>
      </c>
      <c r="J142" s="35"/>
      <c r="K142" s="35"/>
    </row>
    <row r="143" spans="1:11" ht="31.5" customHeight="1" x14ac:dyDescent="0.25">
      <c r="A143" s="41">
        <v>46203</v>
      </c>
      <c r="B143" s="42" t="s">
        <v>37</v>
      </c>
      <c r="C143" s="51" t="s">
        <v>38</v>
      </c>
      <c r="D143" s="43" t="s">
        <v>39</v>
      </c>
      <c r="E143" s="44" t="s">
        <v>40</v>
      </c>
      <c r="F143" s="45" t="s">
        <v>43</v>
      </c>
      <c r="G143" s="43" t="s">
        <v>77</v>
      </c>
      <c r="H143" s="43" t="s">
        <v>77</v>
      </c>
      <c r="I143" s="53" t="s">
        <v>44</v>
      </c>
      <c r="J143" s="43"/>
      <c r="K143" s="43"/>
    </row>
    <row r="144" spans="1:11" ht="31.5" customHeight="1" x14ac:dyDescent="0.25">
      <c r="A144" s="32">
        <v>46203</v>
      </c>
      <c r="B144" s="33" t="s">
        <v>37</v>
      </c>
      <c r="C144" s="51" t="s">
        <v>38</v>
      </c>
      <c r="D144" s="35" t="s">
        <v>39</v>
      </c>
      <c r="E144" s="36" t="s">
        <v>40</v>
      </c>
      <c r="F144" s="37" t="s">
        <v>45</v>
      </c>
      <c r="G144" s="35" t="s">
        <v>77</v>
      </c>
      <c r="H144" s="35" t="s">
        <v>77</v>
      </c>
      <c r="I144" s="38" t="s">
        <v>42</v>
      </c>
      <c r="J144" s="35"/>
      <c r="K144" s="35"/>
    </row>
    <row r="145" spans="1:11" ht="31.5" customHeight="1" x14ac:dyDescent="0.25">
      <c r="A145" s="41">
        <v>46203</v>
      </c>
      <c r="B145" s="42" t="s">
        <v>37</v>
      </c>
      <c r="C145" s="51" t="s">
        <v>38</v>
      </c>
      <c r="D145" s="43" t="s">
        <v>39</v>
      </c>
      <c r="E145" s="44" t="s">
        <v>40</v>
      </c>
      <c r="F145" s="45" t="s">
        <v>46</v>
      </c>
      <c r="G145" s="43" t="s">
        <v>77</v>
      </c>
      <c r="H145" s="43" t="s">
        <v>77</v>
      </c>
      <c r="I145" s="53" t="s">
        <v>44</v>
      </c>
      <c r="J145" s="59" t="s">
        <v>25</v>
      </c>
      <c r="K145" s="60" t="s">
        <v>232</v>
      </c>
    </row>
    <row r="146" spans="1:11" ht="31.5" customHeight="1" x14ac:dyDescent="0.25">
      <c r="A146" s="32">
        <v>46203</v>
      </c>
      <c r="B146" s="33" t="s">
        <v>37</v>
      </c>
      <c r="C146" s="51" t="s">
        <v>38</v>
      </c>
      <c r="D146" s="35" t="s">
        <v>39</v>
      </c>
      <c r="E146" s="36" t="s">
        <v>40</v>
      </c>
      <c r="F146" s="37" t="s">
        <v>47</v>
      </c>
      <c r="G146" s="35" t="s">
        <v>77</v>
      </c>
      <c r="H146" s="35" t="s">
        <v>77</v>
      </c>
      <c r="I146" s="38" t="s">
        <v>42</v>
      </c>
      <c r="J146" s="35"/>
      <c r="K146" s="35"/>
    </row>
    <row r="147" spans="1:11" ht="31.5" customHeight="1" x14ac:dyDescent="0.25">
      <c r="A147" s="41">
        <v>46203</v>
      </c>
      <c r="B147" s="42" t="s">
        <v>37</v>
      </c>
      <c r="C147" s="50" t="s">
        <v>48</v>
      </c>
      <c r="D147" s="43" t="s">
        <v>39</v>
      </c>
      <c r="E147" s="44" t="s">
        <v>40</v>
      </c>
      <c r="F147" s="45" t="s">
        <v>49</v>
      </c>
      <c r="G147" s="43" t="s">
        <v>77</v>
      </c>
      <c r="H147" s="43" t="s">
        <v>77</v>
      </c>
      <c r="I147" s="38" t="s">
        <v>42</v>
      </c>
      <c r="J147" s="43"/>
      <c r="K147" s="43"/>
    </row>
    <row r="148" spans="1:11" ht="31.5" customHeight="1" x14ac:dyDescent="0.25">
      <c r="A148" s="32">
        <v>46203</v>
      </c>
      <c r="B148" s="33" t="s">
        <v>37</v>
      </c>
      <c r="C148" s="50" t="s">
        <v>48</v>
      </c>
      <c r="D148" s="35" t="s">
        <v>39</v>
      </c>
      <c r="E148" s="36" t="s">
        <v>40</v>
      </c>
      <c r="F148" s="37" t="s">
        <v>50</v>
      </c>
      <c r="G148" s="35" t="s">
        <v>77</v>
      </c>
      <c r="H148" s="35" t="s">
        <v>77</v>
      </c>
      <c r="I148" s="38" t="s">
        <v>42</v>
      </c>
      <c r="J148" s="35"/>
      <c r="K148" s="35"/>
    </row>
    <row r="149" spans="1:11" ht="31.5" customHeight="1" x14ac:dyDescent="0.25">
      <c r="A149" s="41">
        <v>46203</v>
      </c>
      <c r="B149" s="42" t="s">
        <v>37</v>
      </c>
      <c r="C149" s="48" t="s">
        <v>32</v>
      </c>
      <c r="D149" s="43" t="s">
        <v>39</v>
      </c>
      <c r="E149" s="44" t="s">
        <v>40</v>
      </c>
      <c r="F149" s="45" t="s">
        <v>51</v>
      </c>
      <c r="G149" s="43" t="s">
        <v>77</v>
      </c>
      <c r="H149" s="43" t="s">
        <v>77</v>
      </c>
      <c r="I149" s="53" t="s">
        <v>44</v>
      </c>
      <c r="J149" s="43"/>
      <c r="K149" s="43"/>
    </row>
    <row r="150" spans="1:11" ht="31.5" customHeight="1" x14ac:dyDescent="0.25">
      <c r="A150" s="32">
        <v>46203</v>
      </c>
      <c r="B150" s="33" t="s">
        <v>52</v>
      </c>
      <c r="C150" s="34" t="s">
        <v>53</v>
      </c>
      <c r="D150" s="35" t="s">
        <v>28</v>
      </c>
      <c r="E150" s="36" t="s">
        <v>54</v>
      </c>
      <c r="F150" s="37" t="s">
        <v>55</v>
      </c>
      <c r="G150" s="35" t="s">
        <v>77</v>
      </c>
      <c r="H150" s="35" t="s">
        <v>77</v>
      </c>
      <c r="I150" s="38" t="s">
        <v>42</v>
      </c>
      <c r="J150" s="35"/>
      <c r="K150" s="35"/>
    </row>
    <row r="151" spans="1:11" ht="31.5" customHeight="1" x14ac:dyDescent="0.25">
      <c r="A151" s="41">
        <v>46203</v>
      </c>
      <c r="B151" s="42" t="s">
        <v>52</v>
      </c>
      <c r="C151" s="34" t="s">
        <v>53</v>
      </c>
      <c r="D151" s="43" t="s">
        <v>28</v>
      </c>
      <c r="E151" s="44" t="s">
        <v>54</v>
      </c>
      <c r="F151" s="45" t="s">
        <v>56</v>
      </c>
      <c r="G151" s="43" t="s">
        <v>77</v>
      </c>
      <c r="H151" s="43" t="s">
        <v>77</v>
      </c>
      <c r="I151" s="38" t="s">
        <v>42</v>
      </c>
      <c r="J151" s="43"/>
      <c r="K151" s="43"/>
    </row>
    <row r="152" spans="1:11" ht="31.5" customHeight="1" x14ac:dyDescent="0.25">
      <c r="A152" s="32">
        <v>46203</v>
      </c>
      <c r="B152" s="33" t="s">
        <v>52</v>
      </c>
      <c r="C152" s="34" t="s">
        <v>53</v>
      </c>
      <c r="D152" s="35" t="s">
        <v>57</v>
      </c>
      <c r="E152" s="36" t="s">
        <v>54</v>
      </c>
      <c r="F152" s="37" t="s">
        <v>58</v>
      </c>
      <c r="G152" s="35" t="s">
        <v>77</v>
      </c>
      <c r="H152" s="35" t="s">
        <v>77</v>
      </c>
      <c r="I152" s="38" t="s">
        <v>42</v>
      </c>
      <c r="J152" s="35"/>
      <c r="K152" s="35"/>
    </row>
    <row r="153" spans="1:11" ht="31.5" customHeight="1" x14ac:dyDescent="0.25">
      <c r="A153" s="41">
        <v>46203</v>
      </c>
      <c r="B153" s="42" t="s">
        <v>59</v>
      </c>
      <c r="C153" s="48" t="s">
        <v>60</v>
      </c>
      <c r="D153" s="43" t="s">
        <v>61</v>
      </c>
      <c r="E153" s="44" t="s">
        <v>62</v>
      </c>
      <c r="F153" s="45" t="s">
        <v>63</v>
      </c>
      <c r="G153" s="43" t="s">
        <v>77</v>
      </c>
      <c r="H153" s="43" t="s">
        <v>77</v>
      </c>
      <c r="I153" s="53" t="s">
        <v>64</v>
      </c>
      <c r="J153" s="43"/>
      <c r="K153" s="43"/>
    </row>
    <row r="154" spans="1:11" ht="31.5" customHeight="1" x14ac:dyDescent="0.25">
      <c r="A154" s="32">
        <v>46203</v>
      </c>
      <c r="B154" s="33" t="s">
        <v>59</v>
      </c>
      <c r="C154" s="48" t="s">
        <v>60</v>
      </c>
      <c r="D154" s="35" t="s">
        <v>65</v>
      </c>
      <c r="E154" s="36" t="s">
        <v>66</v>
      </c>
      <c r="F154" s="37" t="s">
        <v>67</v>
      </c>
      <c r="G154" s="35" t="s">
        <v>77</v>
      </c>
      <c r="H154" s="35" t="s">
        <v>77</v>
      </c>
      <c r="I154" s="38" t="s">
        <v>42</v>
      </c>
      <c r="J154" s="35"/>
      <c r="K154" s="35"/>
    </row>
    <row r="155" spans="1:11" ht="31.5" customHeight="1" x14ac:dyDescent="0.25">
      <c r="A155" s="41">
        <v>46203</v>
      </c>
      <c r="B155" s="42" t="s">
        <v>101</v>
      </c>
      <c r="C155" s="48" t="s">
        <v>60</v>
      </c>
      <c r="D155" s="43" t="s">
        <v>165</v>
      </c>
      <c r="E155" s="44" t="s">
        <v>62</v>
      </c>
      <c r="F155" s="45" t="s">
        <v>166</v>
      </c>
      <c r="G155" s="43" t="s">
        <v>77</v>
      </c>
      <c r="H155" s="43" t="s">
        <v>77</v>
      </c>
      <c r="I155" s="53" t="s">
        <v>155</v>
      </c>
      <c r="J155" s="43"/>
      <c r="K155" s="43"/>
    </row>
    <row r="156" spans="1:11" ht="31.5" customHeight="1" x14ac:dyDescent="0.25">
      <c r="A156" s="32">
        <v>46203</v>
      </c>
      <c r="B156" s="33" t="s">
        <v>101</v>
      </c>
      <c r="C156" s="48" t="s">
        <v>60</v>
      </c>
      <c r="D156" s="35" t="s">
        <v>209</v>
      </c>
      <c r="E156" s="36" t="s">
        <v>62</v>
      </c>
      <c r="F156" s="37" t="s">
        <v>237</v>
      </c>
      <c r="G156" s="35" t="s">
        <v>77</v>
      </c>
      <c r="H156" s="35" t="s">
        <v>77</v>
      </c>
      <c r="I156" s="38" t="s">
        <v>229</v>
      </c>
      <c r="J156" s="59" t="s">
        <v>25</v>
      </c>
      <c r="K156" s="60" t="s">
        <v>238</v>
      </c>
    </row>
  </sheetData>
  <conditionalFormatting sqref="A2:K128">
    <cfRule type="expression" dxfId="105" priority="3">
      <formula>OR($I2="Reprovado",$I2="Reprovado parcial",$I2="Não finalizado",$I2="Pendência")</formula>
    </cfRule>
  </conditionalFormatting>
  <dataValidations count="3">
    <dataValidation type="list" allowBlank="1" sqref="B2:B75" xr:uid="{00000000-0002-0000-0200-000000000000}">
      <formula1>"Rogério Matos,Marcos Antonio,Rafael Vieira,Edigar Barreto,Charles Johnson,Daniel Henrique,Renan"</formula1>
      <formula2>0</formula2>
    </dataValidation>
    <dataValidation type="list" allowBlank="1" sqref="C2:C75" xr:uid="{00000000-0002-0000-0200-000001000000}">
      <formula1>"ELE,TUB,MEC,SOLDA,AND,ADM,MAT,LP"</formula1>
      <formula2>0</formula2>
    </dataValidation>
    <dataValidation type="list" allowBlank="1" sqref="I2:I144" xr:uid="{00000000-0002-0000-0200-000003000000}">
      <formula1>"Não iniciado,Em andamento,Acompanhamento,Inspecionado OK,Inspecionado,Aprovado,Recebido,Recebido parcial,Em análise — falta certificado,Pendência,Reprovado,Reprovado parcial,Não finalizado,Finalizado,Ok"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$A2=Painel!$B$4</xm:f>
            <x14:dxf>
              <font>
                <b/>
                <sz val="9"/>
                <name val="Arial"/>
                <charset val="1"/>
              </font>
              <fill>
                <patternFill>
                  <bgColor rgb="FFC6EFCE"/>
                </patternFill>
              </fill>
            </x14:dxf>
          </x14:cfRule>
          <xm:sqref>A2:K128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ione o CWA" prompt="Escolha o CWA da lista ou digite manualmente" xr:uid="{00000000-0002-0000-0200-000002000000}">
          <x14:formula1>
            <xm:f>_CWAs!$A$2:$A$64</xm:f>
          </x14:formula1>
          <x14:formula2>
            <xm:f>0</xm:f>
          </x14:formula2>
          <xm:sqref>D2:D118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2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6.42578125" customWidth="1"/>
    <col min="2" max="2" width="35" customWidth="1"/>
    <col min="3" max="3" width="24" customWidth="1"/>
    <col min="4" max="4" width="55" customWidth="1"/>
    <col min="5" max="5" width="20" customWidth="1"/>
  </cols>
  <sheetData>
    <row r="1" spans="1:5" ht="30" customHeight="1" x14ac:dyDescent="0.25">
      <c r="A1" s="101" t="s">
        <v>239</v>
      </c>
      <c r="B1" s="101"/>
      <c r="C1" s="101"/>
      <c r="D1" s="101"/>
      <c r="E1" s="101"/>
    </row>
    <row r="2" spans="1:5" ht="15.75" customHeight="1" x14ac:dyDescent="0.25">
      <c r="A2" s="102" t="s">
        <v>240</v>
      </c>
      <c r="B2" s="102"/>
      <c r="C2" s="102"/>
      <c r="D2" s="102"/>
      <c r="E2" s="102"/>
    </row>
    <row r="3" spans="1:5" ht="21.75" customHeight="1" x14ac:dyDescent="0.25">
      <c r="A3" s="62" t="s">
        <v>241</v>
      </c>
      <c r="B3" s="62" t="s">
        <v>242</v>
      </c>
      <c r="C3" s="62" t="s">
        <v>243</v>
      </c>
      <c r="D3" s="62" t="s">
        <v>244</v>
      </c>
      <c r="E3" s="62" t="s">
        <v>245</v>
      </c>
    </row>
    <row r="4" spans="1:5" ht="27.75" customHeight="1" x14ac:dyDescent="0.25">
      <c r="A4" s="42" t="s">
        <v>246</v>
      </c>
      <c r="B4" s="63" t="s">
        <v>247</v>
      </c>
      <c r="C4" s="64" t="s">
        <v>248</v>
      </c>
      <c r="D4" s="65" t="s">
        <v>249</v>
      </c>
      <c r="E4" s="66" t="s">
        <v>250</v>
      </c>
    </row>
    <row r="5" spans="1:5" ht="27.75" customHeight="1" x14ac:dyDescent="0.25">
      <c r="A5" s="61" t="s">
        <v>251</v>
      </c>
      <c r="B5" s="67" t="s">
        <v>252</v>
      </c>
      <c r="C5" s="68" t="s">
        <v>253</v>
      </c>
      <c r="D5" s="69" t="s">
        <v>254</v>
      </c>
      <c r="E5" s="70" t="s">
        <v>255</v>
      </c>
    </row>
    <row r="6" spans="1:5" ht="27.75" customHeight="1" x14ac:dyDescent="0.25">
      <c r="A6" s="42" t="s">
        <v>256</v>
      </c>
      <c r="B6" s="63" t="s">
        <v>257</v>
      </c>
      <c r="C6" s="64" t="s">
        <v>258</v>
      </c>
      <c r="D6" s="65" t="s">
        <v>259</v>
      </c>
      <c r="E6" s="70" t="s">
        <v>255</v>
      </c>
    </row>
    <row r="7" spans="1:5" ht="27.75" customHeight="1" x14ac:dyDescent="0.25">
      <c r="A7" s="61" t="s">
        <v>260</v>
      </c>
      <c r="B7" s="67" t="s">
        <v>261</v>
      </c>
      <c r="C7" s="68" t="s">
        <v>262</v>
      </c>
      <c r="D7" s="69" t="s">
        <v>263</v>
      </c>
      <c r="E7" s="70" t="s">
        <v>255</v>
      </c>
    </row>
    <row r="8" spans="1:5" ht="27.75" customHeight="1" x14ac:dyDescent="0.25">
      <c r="A8" s="42" t="s">
        <v>264</v>
      </c>
      <c r="B8" s="63" t="s">
        <v>265</v>
      </c>
      <c r="C8" s="64" t="s">
        <v>266</v>
      </c>
      <c r="D8" s="65" t="s">
        <v>267</v>
      </c>
      <c r="E8" s="71" t="s">
        <v>268</v>
      </c>
    </row>
    <row r="9" spans="1:5" ht="27.75" customHeight="1" x14ac:dyDescent="0.25">
      <c r="A9" s="61" t="s">
        <v>269</v>
      </c>
      <c r="B9" s="67" t="s">
        <v>270</v>
      </c>
      <c r="C9" s="68" t="s">
        <v>271</v>
      </c>
      <c r="D9" s="69" t="s">
        <v>272</v>
      </c>
      <c r="E9" s="71" t="s">
        <v>268</v>
      </c>
    </row>
    <row r="10" spans="1:5" ht="27.75" customHeight="1" x14ac:dyDescent="0.25">
      <c r="A10" s="42" t="s">
        <v>273</v>
      </c>
      <c r="B10" s="63" t="s">
        <v>274</v>
      </c>
      <c r="C10" s="64" t="s">
        <v>275</v>
      </c>
      <c r="D10" s="65" t="s">
        <v>276</v>
      </c>
      <c r="E10" s="70" t="s">
        <v>255</v>
      </c>
    </row>
    <row r="11" spans="1:5" ht="27.75" customHeight="1" x14ac:dyDescent="0.25">
      <c r="A11" s="61" t="s">
        <v>277</v>
      </c>
      <c r="B11" s="67" t="s">
        <v>278</v>
      </c>
      <c r="C11" s="68" t="s">
        <v>279</v>
      </c>
      <c r="D11" s="69" t="s">
        <v>280</v>
      </c>
      <c r="E11" s="70" t="s">
        <v>255</v>
      </c>
    </row>
    <row r="12" spans="1:5" ht="27.75" customHeight="1" x14ac:dyDescent="0.25">
      <c r="A12" s="42" t="s">
        <v>281</v>
      </c>
      <c r="B12" s="63" t="s">
        <v>282</v>
      </c>
      <c r="C12" s="64" t="s">
        <v>283</v>
      </c>
      <c r="D12" s="65" t="s">
        <v>284</v>
      </c>
      <c r="E12" s="70" t="s">
        <v>255</v>
      </c>
    </row>
    <row r="13" spans="1:5" ht="27.75" customHeight="1" x14ac:dyDescent="0.25">
      <c r="A13" s="61" t="s">
        <v>285</v>
      </c>
      <c r="B13" s="67" t="s">
        <v>286</v>
      </c>
      <c r="C13" s="68" t="s">
        <v>287</v>
      </c>
      <c r="D13" s="69" t="s">
        <v>288</v>
      </c>
      <c r="E13" s="70" t="s">
        <v>255</v>
      </c>
    </row>
    <row r="14" spans="1:5" ht="27.75" customHeight="1" x14ac:dyDescent="0.25">
      <c r="A14" s="42" t="s">
        <v>289</v>
      </c>
      <c r="B14" s="63" t="s">
        <v>290</v>
      </c>
      <c r="C14" s="64" t="s">
        <v>291</v>
      </c>
      <c r="D14" s="65" t="s">
        <v>292</v>
      </c>
      <c r="E14" s="72" t="s">
        <v>293</v>
      </c>
    </row>
    <row r="15" spans="1:5" ht="27.75" customHeight="1" x14ac:dyDescent="0.25">
      <c r="A15" s="61" t="s">
        <v>294</v>
      </c>
      <c r="B15" s="67" t="s">
        <v>295</v>
      </c>
      <c r="C15" s="68" t="s">
        <v>296</v>
      </c>
      <c r="D15" s="69" t="s">
        <v>297</v>
      </c>
      <c r="E15" s="72" t="s">
        <v>293</v>
      </c>
    </row>
    <row r="16" spans="1:5" ht="27.75" customHeight="1" x14ac:dyDescent="0.25">
      <c r="A16" s="42" t="s">
        <v>298</v>
      </c>
      <c r="B16" s="63" t="s">
        <v>299</v>
      </c>
      <c r="C16" s="64" t="s">
        <v>300</v>
      </c>
      <c r="D16" s="65" t="s">
        <v>301</v>
      </c>
      <c r="E16" s="72" t="s">
        <v>293</v>
      </c>
    </row>
    <row r="17" spans="1:5" ht="27.75" customHeight="1" x14ac:dyDescent="0.25">
      <c r="A17" s="61" t="s">
        <v>302</v>
      </c>
      <c r="B17" s="67" t="s">
        <v>303</v>
      </c>
      <c r="C17" s="68" t="s">
        <v>304</v>
      </c>
      <c r="D17" s="69" t="s">
        <v>305</v>
      </c>
      <c r="E17" s="72" t="s">
        <v>293</v>
      </c>
    </row>
    <row r="18" spans="1:5" ht="27.75" customHeight="1" x14ac:dyDescent="0.25">
      <c r="A18" s="42" t="s">
        <v>306</v>
      </c>
      <c r="B18" s="63" t="s">
        <v>307</v>
      </c>
      <c r="C18" s="64" t="s">
        <v>308</v>
      </c>
      <c r="D18" s="65" t="s">
        <v>309</v>
      </c>
      <c r="E18" s="72" t="s">
        <v>293</v>
      </c>
    </row>
    <row r="19" spans="1:5" ht="27.75" customHeight="1" x14ac:dyDescent="0.25">
      <c r="A19" s="61" t="s">
        <v>310</v>
      </c>
      <c r="B19" s="67" t="s">
        <v>311</v>
      </c>
      <c r="C19" s="68" t="s">
        <v>312</v>
      </c>
      <c r="D19" s="69" t="s">
        <v>313</v>
      </c>
      <c r="E19" s="72" t="s">
        <v>293</v>
      </c>
    </row>
    <row r="20" spans="1:5" ht="27.75" customHeight="1" x14ac:dyDescent="0.25">
      <c r="A20" s="42" t="s">
        <v>314</v>
      </c>
      <c r="B20" s="63" t="s">
        <v>315</v>
      </c>
      <c r="C20" s="64" t="s">
        <v>316</v>
      </c>
      <c r="D20" s="65" t="s">
        <v>317</v>
      </c>
      <c r="E20" s="72" t="s">
        <v>293</v>
      </c>
    </row>
    <row r="21" spans="1:5" ht="27.75" customHeight="1" x14ac:dyDescent="0.25">
      <c r="A21" s="61" t="s">
        <v>318</v>
      </c>
      <c r="B21" s="67" t="s">
        <v>319</v>
      </c>
      <c r="C21" s="68" t="s">
        <v>320</v>
      </c>
      <c r="D21" s="69" t="s">
        <v>321</v>
      </c>
      <c r="E21" s="72" t="s">
        <v>293</v>
      </c>
    </row>
    <row r="22" spans="1:5" ht="27.75" customHeight="1" x14ac:dyDescent="0.25">
      <c r="A22" s="42" t="s">
        <v>322</v>
      </c>
      <c r="B22" s="63" t="s">
        <v>323</v>
      </c>
      <c r="C22" s="64" t="s">
        <v>324</v>
      </c>
      <c r="D22" s="65" t="s">
        <v>325</v>
      </c>
      <c r="E22" s="72" t="s">
        <v>293</v>
      </c>
    </row>
    <row r="23" spans="1:5" ht="27.75" customHeight="1" x14ac:dyDescent="0.25">
      <c r="A23" s="61" t="s">
        <v>326</v>
      </c>
      <c r="B23" s="67" t="s">
        <v>327</v>
      </c>
      <c r="C23" s="68" t="s">
        <v>328</v>
      </c>
      <c r="D23" s="69" t="s">
        <v>329</v>
      </c>
      <c r="E23" s="72" t="s">
        <v>293</v>
      </c>
    </row>
    <row r="24" spans="1:5" ht="27.75" customHeight="1" x14ac:dyDescent="0.25">
      <c r="A24" s="42" t="s">
        <v>330</v>
      </c>
      <c r="B24" s="63" t="s">
        <v>331</v>
      </c>
      <c r="C24" s="64" t="s">
        <v>332</v>
      </c>
      <c r="D24" s="65" t="s">
        <v>333</v>
      </c>
      <c r="E24" s="72" t="s">
        <v>293</v>
      </c>
    </row>
    <row r="25" spans="1:5" ht="27.75" customHeight="1" x14ac:dyDescent="0.25">
      <c r="A25" s="61" t="s">
        <v>334</v>
      </c>
      <c r="B25" s="67" t="s">
        <v>335</v>
      </c>
      <c r="C25" s="68" t="s">
        <v>336</v>
      </c>
      <c r="D25" s="69" t="s">
        <v>337</v>
      </c>
      <c r="E25" s="72" t="s">
        <v>293</v>
      </c>
    </row>
    <row r="26" spans="1:5" ht="27.75" customHeight="1" x14ac:dyDescent="0.25">
      <c r="A26" s="42" t="s">
        <v>338</v>
      </c>
      <c r="B26" s="63" t="s">
        <v>339</v>
      </c>
      <c r="C26" s="64" t="s">
        <v>340</v>
      </c>
      <c r="D26" s="65" t="s">
        <v>341</v>
      </c>
      <c r="E26" s="72" t="s">
        <v>293</v>
      </c>
    </row>
    <row r="27" spans="1:5" ht="27.75" customHeight="1" x14ac:dyDescent="0.25">
      <c r="A27" s="61" t="s">
        <v>342</v>
      </c>
      <c r="B27" s="67" t="s">
        <v>343</v>
      </c>
      <c r="C27" s="68" t="s">
        <v>344</v>
      </c>
      <c r="D27" s="69" t="s">
        <v>345</v>
      </c>
      <c r="E27" s="72" t="s">
        <v>293</v>
      </c>
    </row>
    <row r="28" spans="1:5" ht="27.75" customHeight="1" x14ac:dyDescent="0.25">
      <c r="A28" s="42" t="s">
        <v>346</v>
      </c>
      <c r="B28" s="63" t="s">
        <v>347</v>
      </c>
      <c r="C28" s="64" t="s">
        <v>348</v>
      </c>
      <c r="D28" s="65" t="s">
        <v>349</v>
      </c>
      <c r="E28" s="72" t="s">
        <v>293</v>
      </c>
    </row>
    <row r="29" spans="1:5" ht="27.75" customHeight="1" x14ac:dyDescent="0.25">
      <c r="A29" s="61" t="s">
        <v>350</v>
      </c>
      <c r="B29" s="67" t="s">
        <v>351</v>
      </c>
      <c r="C29" s="68" t="s">
        <v>352</v>
      </c>
      <c r="D29" s="69" t="s">
        <v>353</v>
      </c>
      <c r="E29" s="72" t="s">
        <v>293</v>
      </c>
    </row>
    <row r="30" spans="1:5" ht="27.75" customHeight="1" x14ac:dyDescent="0.25">
      <c r="A30" s="42" t="s">
        <v>354</v>
      </c>
      <c r="B30" s="63" t="s">
        <v>355</v>
      </c>
      <c r="C30" s="64" t="s">
        <v>356</v>
      </c>
      <c r="D30" s="65" t="s">
        <v>357</v>
      </c>
      <c r="E30" s="72" t="s">
        <v>293</v>
      </c>
    </row>
    <row r="31" spans="1:5" ht="27.75" customHeight="1" x14ac:dyDescent="0.25">
      <c r="A31" s="61" t="s">
        <v>358</v>
      </c>
      <c r="B31" s="67" t="s">
        <v>359</v>
      </c>
      <c r="C31" s="68" t="s">
        <v>360</v>
      </c>
      <c r="D31" s="69" t="s">
        <v>361</v>
      </c>
      <c r="E31" s="72" t="s">
        <v>293</v>
      </c>
    </row>
    <row r="32" spans="1:5" ht="27.75" customHeight="1" x14ac:dyDescent="0.25">
      <c r="A32" s="42" t="s">
        <v>362</v>
      </c>
      <c r="B32" s="63" t="s">
        <v>363</v>
      </c>
      <c r="C32" s="64" t="s">
        <v>364</v>
      </c>
      <c r="D32" s="65" t="s">
        <v>365</v>
      </c>
      <c r="E32" s="72" t="s">
        <v>293</v>
      </c>
    </row>
    <row r="33" spans="1:5" ht="27.75" customHeight="1" x14ac:dyDescent="0.25">
      <c r="A33" s="61" t="s">
        <v>366</v>
      </c>
      <c r="B33" s="67" t="s">
        <v>367</v>
      </c>
      <c r="C33" s="68" t="s">
        <v>368</v>
      </c>
      <c r="D33" s="69" t="s">
        <v>369</v>
      </c>
      <c r="E33" s="72" t="s">
        <v>293</v>
      </c>
    </row>
    <row r="34" spans="1:5" ht="27.75" customHeight="1" x14ac:dyDescent="0.25">
      <c r="A34" s="42" t="s">
        <v>370</v>
      </c>
      <c r="B34" s="63" t="s">
        <v>371</v>
      </c>
      <c r="C34" s="64" t="s">
        <v>372</v>
      </c>
      <c r="D34" s="65" t="s">
        <v>373</v>
      </c>
      <c r="E34" s="72" t="s">
        <v>293</v>
      </c>
    </row>
    <row r="35" spans="1:5" ht="27.75" customHeight="1" x14ac:dyDescent="0.25">
      <c r="A35" s="61" t="s">
        <v>374</v>
      </c>
      <c r="B35" s="67" t="s">
        <v>375</v>
      </c>
      <c r="C35" s="68" t="s">
        <v>376</v>
      </c>
      <c r="D35" s="69" t="s">
        <v>377</v>
      </c>
      <c r="E35" s="72" t="s">
        <v>293</v>
      </c>
    </row>
    <row r="36" spans="1:5" ht="27.75" customHeight="1" x14ac:dyDescent="0.25">
      <c r="A36" s="42" t="s">
        <v>378</v>
      </c>
      <c r="B36" s="63" t="s">
        <v>379</v>
      </c>
      <c r="C36" s="64" t="s">
        <v>380</v>
      </c>
      <c r="D36" s="65" t="s">
        <v>381</v>
      </c>
      <c r="E36" s="72" t="s">
        <v>293</v>
      </c>
    </row>
    <row r="37" spans="1:5" ht="27.75" customHeight="1" x14ac:dyDescent="0.25">
      <c r="A37" s="61" t="s">
        <v>382</v>
      </c>
      <c r="B37" s="67" t="s">
        <v>383</v>
      </c>
      <c r="C37" s="68" t="s">
        <v>384</v>
      </c>
      <c r="D37" s="69" t="s">
        <v>385</v>
      </c>
      <c r="E37" s="70" t="s">
        <v>255</v>
      </c>
    </row>
    <row r="38" spans="1:5" ht="27.75" customHeight="1" x14ac:dyDescent="0.25">
      <c r="A38" s="42" t="s">
        <v>386</v>
      </c>
      <c r="B38" s="63" t="s">
        <v>387</v>
      </c>
      <c r="C38" s="64" t="s">
        <v>388</v>
      </c>
      <c r="D38" s="65" t="s">
        <v>389</v>
      </c>
      <c r="E38" s="72" t="s">
        <v>293</v>
      </c>
    </row>
    <row r="39" spans="1:5" ht="27.75" customHeight="1" x14ac:dyDescent="0.25">
      <c r="A39" s="61" t="s">
        <v>390</v>
      </c>
      <c r="B39" s="67" t="s">
        <v>391</v>
      </c>
      <c r="C39" s="68" t="s">
        <v>392</v>
      </c>
      <c r="D39" s="69" t="s">
        <v>393</v>
      </c>
      <c r="E39" s="72" t="s">
        <v>293</v>
      </c>
    </row>
    <row r="40" spans="1:5" ht="27.75" customHeight="1" x14ac:dyDescent="0.25">
      <c r="A40" s="42" t="s">
        <v>394</v>
      </c>
      <c r="B40" s="63" t="s">
        <v>395</v>
      </c>
      <c r="C40" s="64" t="s">
        <v>396</v>
      </c>
      <c r="D40" s="65" t="s">
        <v>397</v>
      </c>
      <c r="E40" s="72" t="s">
        <v>293</v>
      </c>
    </row>
    <row r="41" spans="1:5" ht="27.75" customHeight="1" x14ac:dyDescent="0.25">
      <c r="A41" s="61" t="s">
        <v>398</v>
      </c>
      <c r="B41" s="67" t="s">
        <v>399</v>
      </c>
      <c r="C41" s="68" t="s">
        <v>400</v>
      </c>
      <c r="D41" s="69" t="s">
        <v>399</v>
      </c>
      <c r="E41" s="72" t="s">
        <v>293</v>
      </c>
    </row>
    <row r="42" spans="1:5" ht="27.75" customHeight="1" x14ac:dyDescent="0.25">
      <c r="A42" s="42" t="s">
        <v>401</v>
      </c>
      <c r="B42" s="63" t="s">
        <v>402</v>
      </c>
      <c r="C42" s="64" t="s">
        <v>403</v>
      </c>
      <c r="D42" s="65" t="s">
        <v>404</v>
      </c>
      <c r="E42" s="72" t="s">
        <v>293</v>
      </c>
    </row>
    <row r="43" spans="1:5" ht="27.75" customHeight="1" x14ac:dyDescent="0.25">
      <c r="A43" s="61" t="s">
        <v>405</v>
      </c>
      <c r="B43" s="67" t="s">
        <v>406</v>
      </c>
      <c r="C43" s="68" t="s">
        <v>407</v>
      </c>
      <c r="D43" s="69" t="s">
        <v>408</v>
      </c>
      <c r="E43" s="70" t="s">
        <v>255</v>
      </c>
    </row>
    <row r="44" spans="1:5" ht="27.75" customHeight="1" x14ac:dyDescent="0.25">
      <c r="A44" s="42" t="s">
        <v>409</v>
      </c>
      <c r="B44" s="63" t="s">
        <v>410</v>
      </c>
      <c r="C44" s="64" t="s">
        <v>411</v>
      </c>
      <c r="D44" s="65" t="s">
        <v>412</v>
      </c>
      <c r="E44" s="72" t="s">
        <v>293</v>
      </c>
    </row>
    <row r="45" spans="1:5" ht="27.75" customHeight="1" x14ac:dyDescent="0.25">
      <c r="A45" s="61" t="s">
        <v>413</v>
      </c>
      <c r="B45" s="67" t="s">
        <v>414</v>
      </c>
      <c r="C45" s="68" t="s">
        <v>415</v>
      </c>
      <c r="D45" s="69" t="s">
        <v>416</v>
      </c>
      <c r="E45" s="72" t="s">
        <v>293</v>
      </c>
    </row>
    <row r="46" spans="1:5" ht="27.75" customHeight="1" x14ac:dyDescent="0.25">
      <c r="A46" s="42" t="s">
        <v>417</v>
      </c>
      <c r="B46" s="63" t="s">
        <v>418</v>
      </c>
      <c r="C46" s="64" t="s">
        <v>419</v>
      </c>
      <c r="D46" s="65" t="s">
        <v>420</v>
      </c>
      <c r="E46" s="72" t="s">
        <v>293</v>
      </c>
    </row>
    <row r="47" spans="1:5" ht="27.75" customHeight="1" x14ac:dyDescent="0.25">
      <c r="A47" s="61" t="s">
        <v>421</v>
      </c>
      <c r="B47" s="67" t="s">
        <v>422</v>
      </c>
      <c r="C47" s="68" t="s">
        <v>423</v>
      </c>
      <c r="D47" s="69" t="s">
        <v>424</v>
      </c>
      <c r="E47" s="70" t="s">
        <v>255</v>
      </c>
    </row>
    <row r="48" spans="1:5" ht="27.75" customHeight="1" x14ac:dyDescent="0.25">
      <c r="A48" s="42" t="s">
        <v>425</v>
      </c>
      <c r="B48" s="63" t="s">
        <v>426</v>
      </c>
      <c r="C48" s="64" t="s">
        <v>427</v>
      </c>
      <c r="D48" s="65" t="s">
        <v>428</v>
      </c>
      <c r="E48" s="70" t="s">
        <v>255</v>
      </c>
    </row>
    <row r="49" spans="1:5" ht="27.75" customHeight="1" x14ac:dyDescent="0.25">
      <c r="A49" s="61" t="s">
        <v>429</v>
      </c>
      <c r="B49" s="67" t="s">
        <v>430</v>
      </c>
      <c r="C49" s="68" t="s">
        <v>431</v>
      </c>
      <c r="D49" s="69" t="s">
        <v>432</v>
      </c>
      <c r="E49" s="70" t="s">
        <v>255</v>
      </c>
    </row>
    <row r="50" spans="1:5" ht="27.75" customHeight="1" x14ac:dyDescent="0.25">
      <c r="A50" s="42" t="s">
        <v>433</v>
      </c>
      <c r="B50" s="63" t="s">
        <v>434</v>
      </c>
      <c r="C50" s="64" t="s">
        <v>435</v>
      </c>
      <c r="D50" s="65" t="s">
        <v>436</v>
      </c>
      <c r="E50" s="72" t="s">
        <v>293</v>
      </c>
    </row>
    <row r="51" spans="1:5" ht="27.75" customHeight="1" x14ac:dyDescent="0.25">
      <c r="A51" s="61" t="s">
        <v>437</v>
      </c>
      <c r="B51" s="67" t="s">
        <v>438</v>
      </c>
      <c r="C51" s="68" t="s">
        <v>439</v>
      </c>
      <c r="D51" s="69" t="s">
        <v>440</v>
      </c>
      <c r="E51" s="70" t="s">
        <v>255</v>
      </c>
    </row>
    <row r="52" spans="1:5" ht="27.75" customHeight="1" x14ac:dyDescent="0.25">
      <c r="A52" s="42" t="s">
        <v>441</v>
      </c>
      <c r="B52" s="63" t="s">
        <v>442</v>
      </c>
      <c r="C52" s="64" t="s">
        <v>443</v>
      </c>
      <c r="D52" s="65" t="s">
        <v>444</v>
      </c>
      <c r="E52" s="72" t="s">
        <v>293</v>
      </c>
    </row>
    <row r="53" spans="1:5" ht="27.75" customHeight="1" x14ac:dyDescent="0.25">
      <c r="A53" s="61" t="s">
        <v>445</v>
      </c>
      <c r="B53" s="67" t="s">
        <v>446</v>
      </c>
      <c r="C53" s="68" t="s">
        <v>447</v>
      </c>
      <c r="D53" s="69" t="s">
        <v>448</v>
      </c>
      <c r="E53" s="71" t="s">
        <v>268</v>
      </c>
    </row>
    <row r="54" spans="1:5" ht="27.75" customHeight="1" x14ac:dyDescent="0.25">
      <c r="A54" s="42" t="s">
        <v>449</v>
      </c>
      <c r="B54" s="63" t="s">
        <v>450</v>
      </c>
      <c r="C54" s="64" t="s">
        <v>451</v>
      </c>
      <c r="D54" s="65" t="s">
        <v>452</v>
      </c>
      <c r="E54" s="72" t="s">
        <v>293</v>
      </c>
    </row>
    <row r="55" spans="1:5" ht="27.75" customHeight="1" x14ac:dyDescent="0.25">
      <c r="A55" s="61" t="s">
        <v>453</v>
      </c>
      <c r="B55" s="67" t="s">
        <v>454</v>
      </c>
      <c r="C55" s="68" t="s">
        <v>455</v>
      </c>
      <c r="D55" s="69" t="s">
        <v>456</v>
      </c>
      <c r="E55" s="70" t="s">
        <v>255</v>
      </c>
    </row>
    <row r="56" spans="1:5" ht="27.75" customHeight="1" x14ac:dyDescent="0.25">
      <c r="A56" s="42" t="s">
        <v>457</v>
      </c>
      <c r="B56" s="63" t="s">
        <v>458</v>
      </c>
      <c r="C56" s="64" t="s">
        <v>459</v>
      </c>
      <c r="D56" s="65" t="s">
        <v>458</v>
      </c>
      <c r="E56" s="70" t="s">
        <v>255</v>
      </c>
    </row>
    <row r="57" spans="1:5" ht="27.75" customHeight="1" x14ac:dyDescent="0.25">
      <c r="A57" s="61" t="s">
        <v>460</v>
      </c>
      <c r="B57" s="67" t="s">
        <v>461</v>
      </c>
      <c r="C57" s="68" t="s">
        <v>462</v>
      </c>
      <c r="D57" s="69" t="s">
        <v>461</v>
      </c>
      <c r="E57" s="70" t="s">
        <v>255</v>
      </c>
    </row>
    <row r="58" spans="1:5" ht="27.75" customHeight="1" x14ac:dyDescent="0.25">
      <c r="A58" s="42" t="s">
        <v>463</v>
      </c>
      <c r="B58" s="63" t="s">
        <v>464</v>
      </c>
      <c r="C58" s="64" t="s">
        <v>465</v>
      </c>
      <c r="D58" s="65" t="s">
        <v>464</v>
      </c>
      <c r="E58" s="70" t="s">
        <v>255</v>
      </c>
    </row>
    <row r="59" spans="1:5" ht="27.75" customHeight="1" x14ac:dyDescent="0.25">
      <c r="A59" s="61" t="s">
        <v>466</v>
      </c>
      <c r="B59" s="67" t="s">
        <v>467</v>
      </c>
      <c r="C59" s="68" t="s">
        <v>468</v>
      </c>
      <c r="D59" s="69" t="s">
        <v>467</v>
      </c>
      <c r="E59" s="70" t="s">
        <v>255</v>
      </c>
    </row>
    <row r="60" spans="1:5" ht="27.75" customHeight="1" x14ac:dyDescent="0.25">
      <c r="A60" s="42" t="s">
        <v>469</v>
      </c>
      <c r="B60" s="63" t="s">
        <v>470</v>
      </c>
      <c r="C60" s="64" t="s">
        <v>471</v>
      </c>
      <c r="D60" s="65" t="s">
        <v>470</v>
      </c>
      <c r="E60" s="70" t="s">
        <v>255</v>
      </c>
    </row>
    <row r="61" spans="1:5" ht="27.75" customHeight="1" x14ac:dyDescent="0.25">
      <c r="A61" s="61" t="s">
        <v>472</v>
      </c>
      <c r="B61" s="67" t="s">
        <v>473</v>
      </c>
      <c r="C61" s="68" t="s">
        <v>474</v>
      </c>
      <c r="D61" s="69" t="s">
        <v>473</v>
      </c>
      <c r="E61" s="70" t="s">
        <v>255</v>
      </c>
    </row>
    <row r="62" spans="1:5" ht="27.75" customHeight="1" x14ac:dyDescent="0.25">
      <c r="A62" s="42" t="s">
        <v>475</v>
      </c>
      <c r="B62" s="63" t="s">
        <v>476</v>
      </c>
      <c r="C62" s="64" t="s">
        <v>477</v>
      </c>
      <c r="D62" s="65" t="s">
        <v>476</v>
      </c>
      <c r="E62" s="70" t="s">
        <v>255</v>
      </c>
    </row>
    <row r="63" spans="1:5" ht="27.75" customHeight="1" x14ac:dyDescent="0.25">
      <c r="A63" s="61" t="s">
        <v>478</v>
      </c>
      <c r="B63" s="67" t="s">
        <v>479</v>
      </c>
      <c r="C63" s="68" t="s">
        <v>480</v>
      </c>
      <c r="D63" s="69" t="s">
        <v>481</v>
      </c>
      <c r="E63" s="70" t="s">
        <v>255</v>
      </c>
    </row>
    <row r="64" spans="1:5" ht="27.75" customHeight="1" x14ac:dyDescent="0.25">
      <c r="A64" s="42" t="s">
        <v>482</v>
      </c>
      <c r="B64" s="63" t="s">
        <v>483</v>
      </c>
      <c r="C64" s="64" t="s">
        <v>484</v>
      </c>
      <c r="D64" s="65" t="s">
        <v>485</v>
      </c>
      <c r="E64" s="70" t="s">
        <v>255</v>
      </c>
    </row>
    <row r="65" spans="1:5" ht="27.75" customHeight="1" x14ac:dyDescent="0.25">
      <c r="A65" s="61" t="s">
        <v>486</v>
      </c>
      <c r="B65" s="67" t="s">
        <v>487</v>
      </c>
      <c r="C65" s="68" t="s">
        <v>488</v>
      </c>
      <c r="D65" s="69" t="s">
        <v>489</v>
      </c>
      <c r="E65" s="70" t="s">
        <v>255</v>
      </c>
    </row>
    <row r="66" spans="1:5" ht="27.75" customHeight="1" x14ac:dyDescent="0.25">
      <c r="A66" s="42" t="s">
        <v>490</v>
      </c>
      <c r="B66" s="63" t="s">
        <v>491</v>
      </c>
      <c r="C66" s="64" t="s">
        <v>492</v>
      </c>
      <c r="D66" s="65" t="s">
        <v>493</v>
      </c>
      <c r="E66" s="70" t="s">
        <v>255</v>
      </c>
    </row>
    <row r="68" spans="1:5" ht="18" customHeight="1" x14ac:dyDescent="0.25">
      <c r="A68" s="103" t="s">
        <v>494</v>
      </c>
      <c r="B68" s="103"/>
      <c r="C68" s="103"/>
      <c r="D68" s="103"/>
      <c r="E68" s="103"/>
    </row>
    <row r="69" spans="1:5" ht="15.75" customHeight="1" x14ac:dyDescent="0.25">
      <c r="A69" s="73" t="s">
        <v>293</v>
      </c>
      <c r="B69" s="104"/>
      <c r="C69" s="104"/>
      <c r="D69" s="104"/>
      <c r="E69" s="104"/>
    </row>
    <row r="70" spans="1:5" ht="15.75" customHeight="1" x14ac:dyDescent="0.25">
      <c r="A70" s="74" t="s">
        <v>255</v>
      </c>
      <c r="B70" s="104"/>
      <c r="C70" s="104"/>
      <c r="D70" s="104"/>
      <c r="E70" s="104"/>
    </row>
    <row r="71" spans="1:5" ht="15.75" customHeight="1" x14ac:dyDescent="0.25">
      <c r="A71" s="75" t="s">
        <v>268</v>
      </c>
      <c r="B71" s="104"/>
      <c r="C71" s="104"/>
      <c r="D71" s="104"/>
      <c r="E71" s="104"/>
    </row>
    <row r="72" spans="1:5" ht="15.75" customHeight="1" x14ac:dyDescent="0.25">
      <c r="A72" s="76" t="s">
        <v>250</v>
      </c>
      <c r="B72" s="104"/>
      <c r="C72" s="104"/>
      <c r="D72" s="104"/>
      <c r="E72" s="104"/>
    </row>
  </sheetData>
  <mergeCells count="7">
    <mergeCell ref="B71:E71"/>
    <mergeCell ref="B72:E72"/>
    <mergeCell ref="A1:E1"/>
    <mergeCell ref="A2:E2"/>
    <mergeCell ref="A68:E68"/>
    <mergeCell ref="B69:E69"/>
    <mergeCell ref="B70:E7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205"/>
  <sheetViews>
    <sheetView showGridLines="0" zoomScaleNormal="100" workbookViewId="0"/>
  </sheetViews>
  <sheetFormatPr defaultColWidth="8.7109375" defaultRowHeight="15" x14ac:dyDescent="0.25"/>
  <cols>
    <col min="1" max="2" width="3" customWidth="1"/>
    <col min="3" max="14" width="11" customWidth="1"/>
    <col min="15" max="18" width="14" customWidth="1"/>
  </cols>
  <sheetData>
    <row r="1" spans="3:14" ht="36" customHeight="1" x14ac:dyDescent="0.25">
      <c r="C1" s="105" t="s">
        <v>495</v>
      </c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3:14" ht="21.75" customHeight="1" x14ac:dyDescent="0.25">
      <c r="C2" s="106" t="s">
        <v>496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3:14" ht="21.75" customHeight="1" x14ac:dyDescent="0.25">
      <c r="C3" s="107" t="s">
        <v>497</v>
      </c>
      <c r="D3" s="107"/>
      <c r="E3" s="107"/>
      <c r="F3" s="107"/>
      <c r="G3" s="107"/>
      <c r="H3" s="107"/>
      <c r="I3" s="107"/>
      <c r="J3" s="107"/>
      <c r="K3" s="107"/>
      <c r="L3" s="107"/>
      <c r="M3" s="108">
        <f>Painel!$B$4</f>
        <v>46203</v>
      </c>
      <c r="N3" s="108"/>
    </row>
    <row r="4" spans="3:14" ht="6" customHeight="1" x14ac:dyDescent="0.25"/>
    <row r="5" spans="3:14" ht="19.5" customHeight="1" x14ac:dyDescent="0.25">
      <c r="C5" s="109" t="s">
        <v>8</v>
      </c>
      <c r="D5" s="109"/>
      <c r="E5" s="109"/>
      <c r="F5" s="109"/>
      <c r="G5" s="109" t="s">
        <v>498</v>
      </c>
      <c r="H5" s="109"/>
      <c r="I5" s="109"/>
      <c r="J5" s="109"/>
      <c r="K5" s="110" t="s">
        <v>499</v>
      </c>
      <c r="L5" s="110"/>
      <c r="M5" s="110"/>
      <c r="N5" s="110"/>
    </row>
    <row r="6" spans="3:14" ht="18" customHeight="1" x14ac:dyDescent="0.25">
      <c r="C6" s="111">
        <f>COUNTIFS('Log Diário'!$B$2:$B$699,"Rogério Matos",'Log Diário'!$A$2:$A$699,Painel!$B$4)</f>
        <v>3</v>
      </c>
      <c r="D6" s="111"/>
      <c r="E6" s="111"/>
      <c r="F6" s="111"/>
      <c r="G6" s="111">
        <f>COUNTIFS('Log Diário'!$B$2:$B$699,"Rogério Matos",'Log Diário'!$A$2:$A$699,Painel!$B$4,'Log Diário'!$I$2:$I$699,"Em andamento")+COUNTIFS('Log Diário'!$B$2:$B$699,"Rogério Matos",'Log Diário'!$A$2:$A$699,Painel!$B$4,'Log Diário'!$I$2:$I$699,"Acompanhamento")</f>
        <v>3</v>
      </c>
      <c r="H6" s="111"/>
      <c r="I6" s="111"/>
      <c r="J6" s="111"/>
      <c r="K6" s="112">
        <f>COUNTIFS('Log Diário'!$B$2:$B$699,"Rogério Matos",'Log Diário'!$A$2:$A$699,Painel!$B$4,'Log Diário'!$I$2:$I$699,"Pendência")+COUNTIFS('Log Diário'!$B$2:$B$699,"Rogério Matos",'Log Diário'!$A$2:$A$699,Painel!$B$4,'Log Diário'!$I$2:$I$699,"Reprovado")</f>
        <v>0</v>
      </c>
      <c r="L6" s="112"/>
      <c r="M6" s="112"/>
      <c r="N6" s="112"/>
    </row>
    <row r="7" spans="3:14" ht="18" customHeight="1" x14ac:dyDescent="0.25">
      <c r="C7" s="111"/>
      <c r="D7" s="111"/>
      <c r="E7" s="111"/>
      <c r="F7" s="111"/>
      <c r="G7" s="111"/>
      <c r="H7" s="111"/>
      <c r="I7" s="111"/>
      <c r="J7" s="111"/>
      <c r="K7" s="112"/>
      <c r="L7" s="112"/>
      <c r="M7" s="112"/>
      <c r="N7" s="112"/>
    </row>
    <row r="8" spans="3:14" ht="18" customHeight="1" x14ac:dyDescent="0.25">
      <c r="C8" s="111"/>
      <c r="D8" s="111"/>
      <c r="E8" s="111"/>
      <c r="F8" s="111"/>
      <c r="G8" s="111"/>
      <c r="H8" s="111"/>
      <c r="I8" s="111"/>
      <c r="J8" s="111"/>
      <c r="K8" s="112"/>
      <c r="L8" s="112"/>
      <c r="M8" s="112"/>
      <c r="N8" s="112"/>
    </row>
    <row r="9" spans="3:14" ht="6" customHeight="1" x14ac:dyDescent="0.25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3:14" ht="19.5" customHeight="1" x14ac:dyDescent="0.25">
      <c r="C10" s="114" t="str">
        <f>"📈 Total de atividades registradas em "&amp;INDEX({"janeiro";"fevereiro";"março";"abril";"maio";"junho";"julho";"agosto";"setembro";"outubro";"novembro";"dezembro"},MONTH(Painel!$B$4))&amp;"/"&amp;YEAR(Painel!$B$4)&amp;": "&amp;COUNTIFS('Log Diário'!$B$2:$B$699,"Rogério Matos",'Log Diário'!$A$2:$A$699,"&gt;"&amp;DATE(YEAR(Painel!$B$4),MONTH(Painel!$B$4),1),'Log Diário'!$A$2:$A$699,"&lt;"&amp;DATE(YEAR(Painel!$B$4),MONTH(Painel!$B$4)+1,1))&amp;" atividades"</f>
        <v>📈 Total de atividades registradas em junho/2026: 18 atividades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3:14" ht="7.5" customHeight="1" x14ac:dyDescent="0.25"/>
    <row r="12" spans="3:14" ht="19.5" customHeight="1" x14ac:dyDescent="0.25">
      <c r="H12" s="115" t="s">
        <v>500</v>
      </c>
      <c r="I12" s="115"/>
      <c r="J12" s="115"/>
      <c r="K12" s="115"/>
      <c r="L12" s="115"/>
      <c r="M12" s="115"/>
      <c r="N12" s="115"/>
    </row>
    <row r="13" spans="3:14" ht="15" customHeight="1" x14ac:dyDescent="0.25">
      <c r="H13" s="116" t="str">
        <f>TRIM(IF(COUNTIFS('Log Diário'!$B$2:$B$699,"Rogério Matos",'Log Diário'!$A$2:$A$699,Painel!$B$4,'Log Diário'!$C$2:$C$699,"ELE")&gt;0,"ELE  ","")&amp;IF(COUNTIFS('Log Diário'!$B$2:$B$699,"Rogério Matos",'Log Diário'!$A$2:$A$699,Painel!$B$4,'Log Diário'!$C$2:$C$699,"TUB")&gt;0,"TUB  ","")&amp;IF(COUNTIFS('Log Diário'!$B$2:$B$699,"Rogério Matos",'Log Diário'!$A$2:$A$699,Painel!$B$4,'Log Diário'!$C$2:$C$699,"MEC")&gt;0,"MEC  ","")&amp;IF(COUNTIFS('Log Diário'!$B$2:$B$699,"Rogério Matos",'Log Diário'!$A$2:$A$699,Painel!$B$4,'Log Diário'!$C$2:$C$699,"SOLDA")&gt;0,"SOLDA  ","")&amp;IF(COUNTIFS('Log Diário'!$B$2:$B$699,"Rogério Matos",'Log Diário'!$A$2:$A$699,Painel!$B$4,'Log Diário'!$C$2:$C$699,"AND")&gt;0,"AND  ","")&amp;IF(COUNTIFS('Log Diário'!$B$2:$B$699,"Rogério Matos",'Log Diário'!$A$2:$A$699,Painel!$B$4,'Log Diário'!$C$2:$C$699,"ADM")&gt;0,"ADM  ",""))</f>
        <v>ELE</v>
      </c>
      <c r="I13" s="116"/>
      <c r="J13" s="116"/>
      <c r="K13" s="116"/>
      <c r="L13" s="116"/>
      <c r="M13" s="116"/>
      <c r="N13" s="116"/>
    </row>
    <row r="14" spans="3:14" ht="15" customHeight="1" x14ac:dyDescent="0.25">
      <c r="H14" s="116"/>
      <c r="I14" s="116"/>
      <c r="J14" s="116"/>
      <c r="K14" s="116"/>
      <c r="L14" s="116"/>
      <c r="M14" s="116"/>
      <c r="N14" s="116"/>
    </row>
    <row r="15" spans="3:14" ht="19.5" customHeight="1" x14ac:dyDescent="0.25">
      <c r="H15" s="115" t="s">
        <v>501</v>
      </c>
      <c r="I15" s="115"/>
      <c r="J15" s="115"/>
      <c r="K15" s="115"/>
      <c r="L15" s="115"/>
      <c r="M15" s="115"/>
      <c r="N15" s="115"/>
    </row>
    <row r="16" spans="3:14" ht="15" customHeight="1" x14ac:dyDescent="0.25">
      <c r="H16" s="117" t="str">
        <f t="array" ref="H16">IF(RIGHT(IFERROR(INDEX('Log Diário'!$D$2:$D$699,SMALL(IF(('Log Diário'!$B$2:$B$699="Rogério Matos")*('Log Diário'!$A$2:$A$699=Painel!$B$4),ROW('Log Diário'!$A$2:$A$699)-1,""),1))&amp;"   |   ","")&amp;IFERROR(INDEX('Log Diário'!$D$2:$D$699,SMALL(IF(('Log Diário'!$B$2:$B$699="Rogério Matos")*('Log Diário'!$A$2:$A$699=Painel!$B$4),ROW('Log Diário'!$A$2:$A$699)-1,""),2))&amp;"   |   ","")&amp;IFERROR(INDEX('Log Diário'!$D$2:$D$699,SMALL(IF(('Log Diário'!$B$2:$B$699="Rogério Matos")*('Log Diário'!$A$2:$A$699=Painel!$B$4),ROW('Log Diário'!$A$2:$A$699)-1,""),3))&amp;"   |   ","")&amp;IFERROR(INDEX('Log Diário'!$D$2:$D$699,SMALL(IF(('Log Diário'!$B$2:$B$699="Rogério Matos")*('Log Diário'!$A$2:$A$699=Painel!$B$4),ROW('Log Diário'!$A$2:$A$699)-1,""),4))&amp;"   |   ","")&amp;IFERROR(INDEX('Log Diário'!$D$2:$D$699,SMALL(IF(('Log Diário'!$B$2:$B$699="Rogério Matos")*('Log Diário'!$A$2:$A$699=Painel!$B$4),ROW('Log Diário'!$A$2:$A$699)-1,""),5))&amp;"   |   ","")&amp;IFERROR(INDEX('Log Diário'!$D$2:$D$699,SMALL(IF(('Log Diário'!$B$2:$B$699="Rogério Matos")*('Log Diário'!$A$2:$A$699=Painel!$B$4),ROW('Log Diário'!$A$2:$A$699)-1,""),6))&amp;"   |   ",""),7)="   |   ",LEFT(IFERROR(INDEX('Log Diário'!$D$2:$D$699,SMALL(IF(('Log Diário'!$B$2:$B$699="Rogério Matos")*('Log Diário'!$A$2:$A$699=Painel!$B$4),ROW('Log Diário'!$A$2:$A$699)-1,""),1))&amp;"   |   ","")&amp;IFERROR(INDEX('Log Diário'!$D$2:$D$699,SMALL(IF(('Log Diário'!$B$2:$B$699="Rogério Matos")*('Log Diário'!$A$2:$A$699=Painel!$B$4),ROW('Log Diário'!$A$2:$A$699)-1,""),2))&amp;"   |   ","")&amp;IFERROR(INDEX('Log Diário'!$D$2:$D$699,SMALL(IF(('Log Diário'!$B$2:$B$699="Rogério Matos")*('Log Diário'!$A$2:$A$699=Painel!$B$4),ROW('Log Diário'!$A$2:$A$699)-1,""),3))&amp;"   |   ","")&amp;IFERROR(INDEX('Log Diário'!$D$2:$D$699,SMALL(IF(('Log Diário'!$B$2:$B$699="Rogério Matos")*('Log Diário'!$A$2:$A$699=Painel!$B$4),ROW('Log Diário'!$A$2:$A$699)-1,""),4))&amp;"   |   ","")&amp;IFERROR(INDEX('Log Diário'!$D$2:$D$699,SMALL(IF(('Log Diário'!$B$2:$B$699="Rogério Matos")*('Log Diário'!$A$2:$A$699=Painel!$B$4),ROW('Log Diário'!$A$2:$A$699)-1,""),5))&amp;"   |   ","")&amp;IFERROR(INDEX('Log Diário'!$D$2:$D$699,SMALL(IF(('Log Diário'!$B$2:$B$699="Rogério Matos")*('Log Diário'!$A$2:$A$699=Painel!$B$4),ROW('Log Diário'!$A$2:$A$699)-1,""),6))&amp;"   |   ",""),LEN(IFERROR(INDEX('Log Diário'!$D$2:$D$699,SMALL(IF(('Log Diário'!$B$2:$B$699="Rogério Matos")*('Log Diário'!$A$2:$A$699=Painel!$B$4),ROW('Log Diário'!$A$2:$A$699)-1,""),1))&amp;"   |   ","")&amp;IFERROR(INDEX('Log Diário'!$D$2:$D$699,SMALL(IF(('Log Diário'!$B$2:$B$699="Rogério Matos")*('Log Diário'!$A$2:$A$699=Painel!$B$4),ROW('Log Diário'!$A$2:$A$699)-1,""),2))&amp;"   |   ","")&amp;IFERROR(INDEX('Log Diário'!$D$2:$D$699,SMALL(IF(('Log Diário'!$B$2:$B$699="Rogério Matos")*('Log Diário'!$A$2:$A$699=Painel!$B$4),ROW('Log Diário'!$A$2:$A$699)-1,""),3))&amp;"   |   ","")&amp;IFERROR(INDEX('Log Diário'!$D$2:$D$699,SMALL(IF(('Log Diário'!$B$2:$B$699="Rogério Matos")*('Log Diário'!$A$2:$A$699=Painel!$B$4),ROW('Log Diário'!$A$2:$A$699)-1,""),4))&amp;"   |   ","")&amp;IFERROR(INDEX('Log Diário'!$D$2:$D$699,SMALL(IF(('Log Diário'!$B$2:$B$699="Rogério Matos")*('Log Diário'!$A$2:$A$699=Painel!$B$4),ROW('Log Diário'!$A$2:$A$699)-1,""),5))&amp;"   |   ","")&amp;IFERROR(INDEX('Log Diário'!$D$2:$D$699,SMALL(IF(('Log Diário'!$B$2:$B$699="Rogério Matos")*('Log Diário'!$A$2:$A$699=Painel!$B$4),ROW('Log Diário'!$A$2:$A$699)-1,""),6))&amp;"   |   ",""))-7),IFERROR(INDEX('Log Diário'!$D$2:$D$699,SMALL(IF(('Log Diário'!$B$2:$B$699="Rogério Matos")*('Log Diário'!$A$2:$A$699=Painel!$B$4),ROW('Log Diário'!$A$2:$A$699)-1,""),1))&amp;"   |   ","")&amp;IFERROR(INDEX('Log Diário'!$D$2:$D$699,SMALL(IF(('Log Diário'!$B$2:$B$699="Rogério Matos")*('Log Diário'!$A$2:$A$699=Painel!$B$4),ROW('Log Diário'!$A$2:$A$699)-1,""),2))&amp;"   |   ","")&amp;IFERROR(INDEX('Log Diário'!$D$2:$D$699,SMALL(IF(('Log Diário'!$B$2:$B$699="Rogério Matos")*('Log Diário'!$A$2:$A$699=Painel!$B$4),ROW('Log Diário'!$A$2:$A$699)-1,""),3))&amp;"   |   ","")&amp;IFERROR(INDEX('Log Diário'!$D$2:$D$699,SMALL(IF(('Log Diário'!$B$2:$B$699="Rogério Matos")*('Log Diário'!$A$2:$A$699=Painel!$B$4),ROW('Log Diário'!$A$2:$A$699)-1,""),4))&amp;"   |   ","")&amp;IFERROR(INDEX('Log Diário'!$D$2:$D$699,SMALL(IF(('Log Diário'!$B$2:$B$699="Rogério Matos")*('Log Diário'!$A$2:$A$699=Painel!$B$4),ROW('Log Diário'!$A$2:$A$699)-1,""),5))&amp;"   |   ","")&amp;IFERROR(INDEX('Log Diário'!$D$2:$D$699,SMALL(IF(('Log Diário'!$B$2:$B$699="Rogério Matos")*('Log Diário'!$A$2:$A$699=Painel!$B$4),ROW('Log Diário'!$A$2:$A$699)-1,""),6))&amp;"   |   ",""))</f>
        <v>CWA-13/14 / Platô 9A   |   CWA-13/14 / Platô 9A   |   CWA-20 / Platô 11</v>
      </c>
      <c r="I16" s="117"/>
      <c r="J16" s="117"/>
      <c r="K16" s="117"/>
      <c r="L16" s="117"/>
      <c r="M16" s="117"/>
      <c r="N16" s="117"/>
    </row>
    <row r="17" spans="1:19" ht="15" customHeight="1" x14ac:dyDescent="0.25">
      <c r="H17" s="117"/>
      <c r="I17" s="117"/>
      <c r="J17" s="117"/>
      <c r="K17" s="117"/>
      <c r="L17" s="117"/>
      <c r="M17" s="117"/>
      <c r="N17" s="117"/>
    </row>
    <row r="18" spans="1:19" ht="13.5" customHeight="1" x14ac:dyDescent="0.25"/>
    <row r="19" spans="1:19" ht="13.5" customHeight="1" x14ac:dyDescent="0.25"/>
    <row r="20" spans="1:19" ht="13.5" customHeight="1" x14ac:dyDescent="0.25"/>
    <row r="21" spans="1:19" ht="13.5" customHeight="1" x14ac:dyDescent="0.25"/>
    <row r="22" spans="1:19" ht="13.5" customHeight="1" x14ac:dyDescent="0.25"/>
    <row r="23" spans="1:19" ht="13.5" customHeight="1" x14ac:dyDescent="0.25"/>
    <row r="24" spans="1:19" ht="13.5" customHeight="1" x14ac:dyDescent="0.25"/>
    <row r="25" spans="1:19" ht="13.5" customHeight="1" x14ac:dyDescent="0.25"/>
    <row r="26" spans="1:19" ht="13.5" customHeight="1" x14ac:dyDescent="0.25"/>
    <row r="28" spans="1:19" ht="24" customHeight="1" x14ac:dyDescent="0.25">
      <c r="C28" s="8" t="str">
        <f>"🗓️ ATIVIDADES DE HOJE — "&amp;TEXT(Painel!$B$4,"DD/MM/YYYY")</f>
        <v>🗓️ ATIVIDADES DE HOJE — 30/06/YYYY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9" ht="19.5" customHeight="1" x14ac:dyDescent="0.25">
      <c r="C29" s="62" t="s">
        <v>20</v>
      </c>
      <c r="D29" s="62" t="s">
        <v>21</v>
      </c>
      <c r="E29" s="62" t="s">
        <v>22</v>
      </c>
      <c r="F29" s="118" t="s">
        <v>23</v>
      </c>
      <c r="G29" s="118"/>
      <c r="H29" s="118"/>
      <c r="I29" s="118"/>
      <c r="J29" s="118"/>
      <c r="K29" s="118" t="s">
        <v>24</v>
      </c>
      <c r="L29" s="118"/>
      <c r="M29" s="119" t="s">
        <v>502</v>
      </c>
      <c r="N29" s="119"/>
      <c r="O29" s="119"/>
      <c r="P29" s="119"/>
      <c r="Q29" s="119"/>
      <c r="R29" s="119"/>
    </row>
    <row r="30" spans="1:19" ht="27.75" customHeight="1" x14ac:dyDescent="0.25">
      <c r="A30" s="77"/>
      <c r="B30" s="77"/>
      <c r="C30" s="77" t="str">
        <f t="array" ref="C30">IFERROR(INDEX('Log Diário'!$C$2:$C$156,SMALL(IF(('Log Diário'!$B$2:$B$156="Rogério Matos")*('Log Diário'!$A$2:$A$156=Painel!$B$4),ROW('Log Diário'!$A$2:$A$156)-1,""),1)),"")</f>
        <v>ELE</v>
      </c>
      <c r="D30" s="77" t="str">
        <f t="array" ref="D30">IFERROR(INDEX('Log Diário'!$D$2:$D$156,SMALL(IF(('Log Diário'!$B$2:$B$156="Rogério Matos")*('Log Diário'!$A$2:$A$156=Painel!$B$4),ROW('Log Diário'!$A$2:$A$156)-1,""),1)),"")</f>
        <v>CWA-13/14 / Platô 9A</v>
      </c>
      <c r="E30" s="77" t="str">
        <f t="array" ref="E30">IFERROR(INDEX('Log Diário'!$E$2:$E$156,SMALL(IF(('Log Diário'!$B$2:$B$156="Rogério Matos")*('Log Diário'!$A$2:$A$156=Painel!$B$4),ROW('Log Diário'!$A$2:$A$156)-1,""),1)),"")</f>
        <v>Renato</v>
      </c>
      <c r="F30" s="120" t="str">
        <f t="array" ref="F30">IFERROR(INDEX('Log Diário'!$F$2:$F$156,SMALL(IF(('Log Diário'!$B$2:$B$156="Rogério Matos")*('Log Diário'!$A$2:$A$156=Painel!$B$4),ROW('Log Diário'!$A$2:$A$156)-1,""),1)),"")</f>
        <v>Montagem infraestrutura iluminação CWA-13/14</v>
      </c>
      <c r="G30" s="120"/>
      <c r="H30" s="120"/>
      <c r="I30" s="120"/>
      <c r="J30" s="120"/>
      <c r="K30" s="121" t="str">
        <f t="array" ref="K30">IFERROR(INDEX('Log Diário'!$I$2:$I$156,SMALL(IF(('Log Diário'!$B$2:$B$156="Rogério Matos")*('Log Diário'!$A$2:$A$156=Painel!$B$4),ROW('Log Diário'!$A$2:$A$156)-1,""),1)),"")</f>
        <v>Em andamento</v>
      </c>
      <c r="L30" s="121"/>
      <c r="M30" s="120" t="str">
        <f t="array" ref="M30">IFERROR(INDEX('Log Diário'!$K$2:$K$156,SMALL(IF(('Log Diário'!$B$2:$B$156="Rogério Matos")*('Log Diário'!$A$2:$A$156=Painel!$B$4),ROW('Log Diário'!$A$2:$A$156)-1,""),1)),"")&amp;""</f>
        <v/>
      </c>
      <c r="N30" s="120"/>
      <c r="O30" s="120"/>
      <c r="P30" s="120"/>
      <c r="Q30" s="120"/>
      <c r="R30" s="120"/>
      <c r="S30" s="77"/>
    </row>
    <row r="31" spans="1:19" ht="27.75" customHeight="1" x14ac:dyDescent="0.25">
      <c r="A31" s="77"/>
      <c r="B31" s="77"/>
      <c r="C31" s="77" t="str">
        <f t="array" ref="C31">IFERROR(INDEX('Log Diário'!$C$2:$C$156,SMALL(IF(('Log Diário'!$B$2:$B$156="Rogério Matos")*('Log Diário'!$A$2:$A$156=Painel!$B$4),ROW('Log Diário'!$A$2:$A$156)-1,""),2)),"")</f>
        <v>ELE</v>
      </c>
      <c r="D31" s="77" t="str">
        <f t="array" ref="D31">IFERROR(INDEX('Log Diário'!$D$2:$D$156,SMALL(IF(('Log Diário'!$B$2:$B$156="Rogério Matos")*('Log Diário'!$A$2:$A$156=Painel!$B$4),ROW('Log Diário'!$A$2:$A$156)-1,""),2)),"")</f>
        <v>CWA-13/14 / Platô 9A</v>
      </c>
      <c r="E31" s="77" t="str">
        <f t="array" ref="E31">IFERROR(INDEX('Log Diário'!$E$2:$E$156,SMALL(IF(('Log Diário'!$B$2:$B$156="Rogério Matos")*('Log Diário'!$A$2:$A$156=Painel!$B$4),ROW('Log Diário'!$A$2:$A$156)-1,""),2)),"")</f>
        <v>Renato</v>
      </c>
      <c r="F31" s="120" t="str">
        <f t="array" ref="F31">IFERROR(INDEX('Log Diário'!$F$2:$F$156,SMALL(IF(('Log Diário'!$B$2:$B$156="Rogério Matos")*('Log Diário'!$A$2:$A$156=Painel!$B$4),ROW('Log Diário'!$A$2:$A$156)-1,""),2)),"")</f>
        <v>Fabricação (suportes leito de cabos, eletrodutos e leito de cabos)</v>
      </c>
      <c r="G31" s="120"/>
      <c r="H31" s="120"/>
      <c r="I31" s="120"/>
      <c r="J31" s="120"/>
      <c r="K31" s="121" t="str">
        <f t="array" ref="K31">IFERROR(INDEX('Log Diário'!$I$2:$I$156,SMALL(IF(('Log Diário'!$B$2:$B$156="Rogério Matos")*('Log Diário'!$A$2:$A$156=Painel!$B$4),ROW('Log Diário'!$A$2:$A$156)-1,""),2)),"")</f>
        <v>Em andamento</v>
      </c>
      <c r="L31" s="121"/>
      <c r="M31" s="120" t="str">
        <f t="array" ref="M31">IFERROR(INDEX('Log Diário'!$K$2:$K$156,SMALL(IF(('Log Diário'!$B$2:$B$156="Rogério Matos")*('Log Diário'!$A$2:$A$156=Painel!$B$4),ROW('Log Diário'!$A$2:$A$156)-1,""),2)),"")&amp;""</f>
        <v/>
      </c>
      <c r="N31" s="120"/>
      <c r="O31" s="120"/>
      <c r="P31" s="120"/>
      <c r="Q31" s="120"/>
      <c r="R31" s="120"/>
      <c r="S31" s="77"/>
    </row>
    <row r="32" spans="1:19" ht="27.75" customHeight="1" x14ac:dyDescent="0.25">
      <c r="A32" s="77"/>
      <c r="B32" s="77"/>
      <c r="C32" s="77" t="str">
        <f t="array" ref="C32">IFERROR(INDEX('Log Diário'!$C$2:$C$156,SMALL(IF(('Log Diário'!$B$2:$B$156="Rogério Matos")*('Log Diário'!$A$2:$A$156=Painel!$B$4),ROW('Log Diário'!$A$2:$A$156)-1,""),3)),"")</f>
        <v>ELE</v>
      </c>
      <c r="D32" s="77" t="str">
        <f t="array" ref="D32">IFERROR(INDEX('Log Diário'!$D$2:$D$156,SMALL(IF(('Log Diário'!$B$2:$B$156="Rogério Matos")*('Log Diário'!$A$2:$A$156=Painel!$B$4),ROW('Log Diário'!$A$2:$A$156)-1,""),3)),"")</f>
        <v>CWA-20 / Platô 11</v>
      </c>
      <c r="E32" s="77" t="str">
        <f t="array" ref="E32">IFERROR(INDEX('Log Diário'!$E$2:$E$156,SMALL(IF(('Log Diário'!$B$2:$B$156="Rogério Matos")*('Log Diário'!$A$2:$A$156=Painel!$B$4),ROW('Log Diário'!$A$2:$A$156)-1,""),3)),"")</f>
        <v>Renato</v>
      </c>
      <c r="F32" s="120" t="str">
        <f t="array" ref="F32">IFERROR(INDEX('Log Diário'!$F$2:$F$156,SMALL(IF(('Log Diário'!$B$2:$B$156="Rogério Matos")*('Log Diário'!$A$2:$A$156=Painel!$B$4),ROW('Log Diário'!$A$2:$A$156)-1,""),3)),"")</f>
        <v>Montagem suportes leito de cabos</v>
      </c>
      <c r="G32" s="120"/>
      <c r="H32" s="120"/>
      <c r="I32" s="120"/>
      <c r="J32" s="120"/>
      <c r="K32" s="121" t="str">
        <f t="array" ref="K32">IFERROR(INDEX('Log Diário'!$I$2:$I$156,SMALL(IF(('Log Diário'!$B$2:$B$156="Rogério Matos")*('Log Diário'!$A$2:$A$156=Painel!$B$4),ROW('Log Diário'!$A$2:$A$156)-1,""),3)),"")</f>
        <v>Em andamento</v>
      </c>
      <c r="L32" s="121"/>
      <c r="M32" s="120" t="str">
        <f t="array" ref="M32">IFERROR(INDEX('Log Diário'!$K$2:$K$156,SMALL(IF(('Log Diário'!$B$2:$B$156="Rogério Matos")*('Log Diário'!$A$2:$A$156=Painel!$B$4),ROW('Log Diário'!$A$2:$A$156)-1,""),3)),"")&amp;""</f>
        <v/>
      </c>
      <c r="N32" s="120"/>
      <c r="O32" s="120"/>
      <c r="P32" s="120"/>
      <c r="Q32" s="120"/>
      <c r="R32" s="120"/>
      <c r="S32" s="77"/>
    </row>
    <row r="33" spans="1:19" ht="3" customHeight="1" x14ac:dyDescent="0.25">
      <c r="A33" s="77"/>
      <c r="B33" s="77"/>
      <c r="C33" s="77" t="str">
        <f t="array" ref="C33">IFERROR(INDEX('Log Diário'!$C$2:$C$156,SMALL(IF(('Log Diário'!$B$2:$B$156="Rogério Matos")*('Log Diário'!$A$2:$A$156=Painel!$B$4),ROW('Log Diário'!$A$2:$A$156)-1,""),4)),"")</f>
        <v/>
      </c>
      <c r="D33" s="77" t="str">
        <f t="array" ref="D33">IFERROR(INDEX('Log Diário'!$D$2:$D$156,SMALL(IF(('Log Diário'!$B$2:$B$156="Rogério Matos")*('Log Diário'!$A$2:$A$156=Painel!$B$4),ROW('Log Diário'!$A$2:$A$156)-1,""),4)),"")</f>
        <v/>
      </c>
      <c r="E33" s="77" t="str">
        <f t="array" ref="E33">IFERROR(INDEX('Log Diário'!$E$2:$E$156,SMALL(IF(('Log Diário'!$B$2:$B$156="Rogério Matos")*('Log Diário'!$A$2:$A$156=Painel!$B$4),ROW('Log Diário'!$A$2:$A$156)-1,""),4)),"")</f>
        <v/>
      </c>
      <c r="F33" s="120" t="str">
        <f t="array" ref="F33">IFERROR(INDEX('Log Diário'!$F$2:$F$156,SMALL(IF(('Log Diário'!$B$2:$B$156="Rogério Matos")*('Log Diário'!$A$2:$A$156=Painel!$B$4),ROW('Log Diário'!$A$2:$A$156)-1,""),4)),"")</f>
        <v/>
      </c>
      <c r="G33" s="120"/>
      <c r="H33" s="120"/>
      <c r="I33" s="120"/>
      <c r="J33" s="120"/>
      <c r="K33" s="121" t="str">
        <f t="array" ref="K33">IFERROR(INDEX('Log Diário'!$I$2:$I$156,SMALL(IF(('Log Diário'!$B$2:$B$156="Rogério Matos")*('Log Diário'!$A$2:$A$156=Painel!$B$4),ROW('Log Diário'!$A$2:$A$156)-1,""),4)),"")</f>
        <v/>
      </c>
      <c r="L33" s="121"/>
      <c r="M33" s="120" t="str">
        <f t="array" ref="M33">IFERROR(INDEX('Log Diário'!$K$2:$K$156,SMALL(IF(('Log Diário'!$B$2:$B$156="Rogério Matos")*('Log Diário'!$A$2:$A$156=Painel!$B$4),ROW('Log Diário'!$A$2:$A$156)-1,""),4)),"")&amp;""</f>
        <v/>
      </c>
      <c r="N33" s="120"/>
      <c r="O33" s="120"/>
      <c r="P33" s="120"/>
      <c r="Q33" s="120"/>
      <c r="R33" s="120"/>
      <c r="S33" s="77"/>
    </row>
    <row r="34" spans="1:19" ht="3" customHeight="1" x14ac:dyDescent="0.25">
      <c r="A34" s="77"/>
      <c r="B34" s="77"/>
      <c r="C34" s="77" t="str">
        <f t="array" ref="C34">IFERROR(INDEX('Log Diário'!$C$2:$C$156,SMALL(IF(('Log Diário'!$B$2:$B$156="Rogério Matos")*('Log Diário'!$A$2:$A$156=Painel!$B$4),ROW('Log Diário'!$A$2:$A$156)-1,""),5)),"")</f>
        <v/>
      </c>
      <c r="D34" s="77" t="str">
        <f t="array" ref="D34">IFERROR(INDEX('Log Diário'!$D$2:$D$156,SMALL(IF(('Log Diário'!$B$2:$B$156="Rogério Matos")*('Log Diário'!$A$2:$A$156=Painel!$B$4),ROW('Log Diário'!$A$2:$A$156)-1,""),5)),"")</f>
        <v/>
      </c>
      <c r="E34" s="77" t="str">
        <f t="array" ref="E34">IFERROR(INDEX('Log Diário'!$E$2:$E$156,SMALL(IF(('Log Diário'!$B$2:$B$156="Rogério Matos")*('Log Diário'!$A$2:$A$156=Painel!$B$4),ROW('Log Diário'!$A$2:$A$156)-1,""),5)),"")</f>
        <v/>
      </c>
      <c r="F34" s="120" t="str">
        <f t="array" ref="F34">IFERROR(INDEX('Log Diário'!$F$2:$F$156,SMALL(IF(('Log Diário'!$B$2:$B$156="Rogério Matos")*('Log Diário'!$A$2:$A$156=Painel!$B$4),ROW('Log Diário'!$A$2:$A$156)-1,""),5)),"")</f>
        <v/>
      </c>
      <c r="G34" s="120"/>
      <c r="H34" s="120"/>
      <c r="I34" s="120"/>
      <c r="J34" s="120"/>
      <c r="K34" s="121" t="str">
        <f t="array" ref="K34">IFERROR(INDEX('Log Diário'!$I$2:$I$156,SMALL(IF(('Log Diário'!$B$2:$B$156="Rogério Matos")*('Log Diário'!$A$2:$A$156=Painel!$B$4),ROW('Log Diário'!$A$2:$A$156)-1,""),5)),"")</f>
        <v/>
      </c>
      <c r="L34" s="121"/>
      <c r="M34" s="120" t="str">
        <f t="array" ref="M34">IFERROR(INDEX('Log Diário'!$K$2:$K$156,SMALL(IF(('Log Diário'!$B$2:$B$156="Rogério Matos")*('Log Diário'!$A$2:$A$156=Painel!$B$4),ROW('Log Diário'!$A$2:$A$156)-1,""),5)),"")&amp;""</f>
        <v/>
      </c>
      <c r="N34" s="120"/>
      <c r="O34" s="120"/>
      <c r="P34" s="120"/>
      <c r="Q34" s="120"/>
      <c r="R34" s="120"/>
      <c r="S34" s="77"/>
    </row>
    <row r="35" spans="1:19" ht="3" customHeight="1" x14ac:dyDescent="0.25">
      <c r="A35" s="77"/>
      <c r="B35" s="77"/>
      <c r="C35" s="77" t="str">
        <f t="array" ref="C35">IFERROR(INDEX('Log Diário'!$C$2:$C$156,SMALL(IF(('Log Diário'!$B$2:$B$156="Rogério Matos")*('Log Diário'!$A$2:$A$156=Painel!$B$4),ROW('Log Diário'!$A$2:$A$156)-1,""),6)),"")</f>
        <v/>
      </c>
      <c r="D35" s="77" t="str">
        <f t="array" ref="D35">IFERROR(INDEX('Log Diário'!$D$2:$D$156,SMALL(IF(('Log Diário'!$B$2:$B$156="Rogério Matos")*('Log Diário'!$A$2:$A$156=Painel!$B$4),ROW('Log Diário'!$A$2:$A$156)-1,""),6)),"")</f>
        <v/>
      </c>
      <c r="E35" s="77" t="str">
        <f t="array" ref="E35">IFERROR(INDEX('Log Diário'!$E$2:$E$156,SMALL(IF(('Log Diário'!$B$2:$B$156="Rogério Matos")*('Log Diário'!$A$2:$A$156=Painel!$B$4),ROW('Log Diário'!$A$2:$A$156)-1,""),6)),"")</f>
        <v/>
      </c>
      <c r="F35" s="120" t="str">
        <f t="array" ref="F35">IFERROR(INDEX('Log Diário'!$F$2:$F$156,SMALL(IF(('Log Diário'!$B$2:$B$156="Rogério Matos")*('Log Diário'!$A$2:$A$156=Painel!$B$4),ROW('Log Diário'!$A$2:$A$156)-1,""),6)),"")</f>
        <v/>
      </c>
      <c r="G35" s="120"/>
      <c r="H35" s="120"/>
      <c r="I35" s="120"/>
      <c r="J35" s="120"/>
      <c r="K35" s="121" t="str">
        <f t="array" ref="K35">IFERROR(INDEX('Log Diário'!$I$2:$I$156,SMALL(IF(('Log Diário'!$B$2:$B$156="Rogério Matos")*('Log Diário'!$A$2:$A$156=Painel!$B$4),ROW('Log Diário'!$A$2:$A$156)-1,""),6)),"")</f>
        <v/>
      </c>
      <c r="L35" s="121"/>
      <c r="M35" s="120" t="str">
        <f t="array" ref="M35">IFERROR(INDEX('Log Diário'!$K$2:$K$156,SMALL(IF(('Log Diário'!$B$2:$B$156="Rogério Matos")*('Log Diário'!$A$2:$A$156=Painel!$B$4),ROW('Log Diário'!$A$2:$A$156)-1,""),6)),"")&amp;""</f>
        <v/>
      </c>
      <c r="N35" s="120"/>
      <c r="O35" s="120"/>
      <c r="P35" s="120"/>
      <c r="Q35" s="120"/>
      <c r="R35" s="120"/>
      <c r="S35" s="77"/>
    </row>
    <row r="36" spans="1:19" ht="3" customHeight="1" x14ac:dyDescent="0.25">
      <c r="A36" s="77"/>
      <c r="B36" s="77"/>
      <c r="C36" s="77" t="str">
        <f t="array" ref="C36">IFERROR(INDEX('Log Diário'!$C$2:$C$156,SMALL(IF(('Log Diário'!$B$2:$B$156="Rogério Matos")*('Log Diário'!$A$2:$A$156=Painel!$B$4),ROW('Log Diário'!$A$2:$A$156)-1,""),7)),"")</f>
        <v/>
      </c>
      <c r="D36" s="77" t="str">
        <f t="array" ref="D36">IFERROR(INDEX('Log Diário'!$D$2:$D$156,SMALL(IF(('Log Diário'!$B$2:$B$156="Rogério Matos")*('Log Diário'!$A$2:$A$156=Painel!$B$4),ROW('Log Diário'!$A$2:$A$156)-1,""),7)),"")</f>
        <v/>
      </c>
      <c r="E36" s="77" t="str">
        <f t="array" ref="E36">IFERROR(INDEX('Log Diário'!$E$2:$E$156,SMALL(IF(('Log Diário'!$B$2:$B$156="Rogério Matos")*('Log Diário'!$A$2:$A$156=Painel!$B$4),ROW('Log Diário'!$A$2:$A$156)-1,""),7)),"")</f>
        <v/>
      </c>
      <c r="F36" s="120" t="str">
        <f t="array" ref="F36">IFERROR(INDEX('Log Diário'!$F$2:$F$156,SMALL(IF(('Log Diário'!$B$2:$B$156="Rogério Matos")*('Log Diário'!$A$2:$A$156=Painel!$B$4),ROW('Log Diário'!$A$2:$A$156)-1,""),7)),"")</f>
        <v/>
      </c>
      <c r="G36" s="120"/>
      <c r="H36" s="120"/>
      <c r="I36" s="120"/>
      <c r="J36" s="120"/>
      <c r="K36" s="121" t="str">
        <f t="array" ref="K36">IFERROR(INDEX('Log Diário'!$I$2:$I$156,SMALL(IF(('Log Diário'!$B$2:$B$156="Rogério Matos")*('Log Diário'!$A$2:$A$156=Painel!$B$4),ROW('Log Diário'!$A$2:$A$156)-1,""),7)),"")</f>
        <v/>
      </c>
      <c r="L36" s="121"/>
      <c r="M36" s="120" t="str">
        <f t="array" ref="M36">IFERROR(INDEX('Log Diário'!$K$2:$K$156,SMALL(IF(('Log Diário'!$B$2:$B$156="Rogério Matos")*('Log Diário'!$A$2:$A$156=Painel!$B$4),ROW('Log Diário'!$A$2:$A$156)-1,""),7)),"")&amp;""</f>
        <v/>
      </c>
      <c r="N36" s="120"/>
      <c r="O36" s="120"/>
      <c r="P36" s="120"/>
      <c r="Q36" s="120"/>
      <c r="R36" s="120"/>
      <c r="S36" s="77"/>
    </row>
    <row r="37" spans="1:19" ht="3" customHeight="1" x14ac:dyDescent="0.25">
      <c r="A37" s="77"/>
      <c r="B37" s="77"/>
      <c r="C37" s="77" t="str">
        <f t="array" ref="C37">IFERROR(INDEX('Log Diário'!$C$2:$C$156,SMALL(IF(('Log Diário'!$B$2:$B$156="Rogério Matos")*('Log Diário'!$A$2:$A$156=Painel!$B$4),ROW('Log Diário'!$A$2:$A$156)-1,""),8)),"")</f>
        <v/>
      </c>
      <c r="D37" s="77" t="str">
        <f t="array" ref="D37">IFERROR(INDEX('Log Diário'!$D$2:$D$156,SMALL(IF(('Log Diário'!$B$2:$B$156="Rogério Matos")*('Log Diário'!$A$2:$A$156=Painel!$B$4),ROW('Log Diário'!$A$2:$A$156)-1,""),8)),"")</f>
        <v/>
      </c>
      <c r="E37" s="77" t="str">
        <f t="array" ref="E37">IFERROR(INDEX('Log Diário'!$E$2:$E$156,SMALL(IF(('Log Diário'!$B$2:$B$156="Rogério Matos")*('Log Diário'!$A$2:$A$156=Painel!$B$4),ROW('Log Diário'!$A$2:$A$156)-1,""),8)),"")</f>
        <v/>
      </c>
      <c r="F37" s="120" t="str">
        <f t="array" ref="F37">IFERROR(INDEX('Log Diário'!$F$2:$F$156,SMALL(IF(('Log Diário'!$B$2:$B$156="Rogério Matos")*('Log Diário'!$A$2:$A$156=Painel!$B$4),ROW('Log Diário'!$A$2:$A$156)-1,""),8)),"")</f>
        <v/>
      </c>
      <c r="G37" s="120"/>
      <c r="H37" s="120"/>
      <c r="I37" s="120"/>
      <c r="J37" s="120"/>
      <c r="K37" s="121" t="str">
        <f t="array" ref="K37">IFERROR(INDEX('Log Diário'!$I$2:$I$156,SMALL(IF(('Log Diário'!$B$2:$B$156="Rogério Matos")*('Log Diário'!$A$2:$A$156=Painel!$B$4),ROW('Log Diário'!$A$2:$A$156)-1,""),8)),"")</f>
        <v/>
      </c>
      <c r="L37" s="121"/>
      <c r="M37" s="120" t="str">
        <f t="array" ref="M37">IFERROR(INDEX('Log Diário'!$K$2:$K$156,SMALL(IF(('Log Diário'!$B$2:$B$156="Rogério Matos")*('Log Diário'!$A$2:$A$156=Painel!$B$4),ROW('Log Diário'!$A$2:$A$156)-1,""),8)),"")&amp;""</f>
        <v/>
      </c>
      <c r="N37" s="120"/>
      <c r="O37" s="120"/>
      <c r="P37" s="120"/>
      <c r="Q37" s="120"/>
      <c r="R37" s="120"/>
      <c r="S37" s="77"/>
    </row>
    <row r="38" spans="1:19" ht="3" customHeight="1" x14ac:dyDescent="0.25">
      <c r="A38" s="77"/>
      <c r="B38" s="77"/>
      <c r="C38" s="77" t="str">
        <f t="array" ref="C38">IFERROR(INDEX('Log Diário'!$C$2:$C$156,SMALL(IF(('Log Diário'!$B$2:$B$156="Rogério Matos")*('Log Diário'!$A$2:$A$156=Painel!$B$4),ROW('Log Diário'!$A$2:$A$156)-1,""),9)),"")</f>
        <v/>
      </c>
      <c r="D38" s="77" t="str">
        <f t="array" ref="D38">IFERROR(INDEX('Log Diário'!$D$2:$D$156,SMALL(IF(('Log Diário'!$B$2:$B$156="Rogério Matos")*('Log Diário'!$A$2:$A$156=Painel!$B$4),ROW('Log Diário'!$A$2:$A$156)-1,""),9)),"")</f>
        <v/>
      </c>
      <c r="E38" s="77" t="str">
        <f t="array" ref="E38">IFERROR(INDEX('Log Diário'!$E$2:$E$156,SMALL(IF(('Log Diário'!$B$2:$B$156="Rogério Matos")*('Log Diário'!$A$2:$A$156=Painel!$B$4),ROW('Log Diário'!$A$2:$A$156)-1,""),9)),"")</f>
        <v/>
      </c>
      <c r="F38" s="120" t="str">
        <f t="array" ref="F38">IFERROR(INDEX('Log Diário'!$F$2:$F$156,SMALL(IF(('Log Diário'!$B$2:$B$156="Rogério Matos")*('Log Diário'!$A$2:$A$156=Painel!$B$4),ROW('Log Diário'!$A$2:$A$156)-1,""),9)),"")</f>
        <v/>
      </c>
      <c r="G38" s="120"/>
      <c r="H38" s="120"/>
      <c r="I38" s="120"/>
      <c r="J38" s="120"/>
      <c r="K38" s="121" t="str">
        <f t="array" ref="K38">IFERROR(INDEX('Log Diário'!$I$2:$I$156,SMALL(IF(('Log Diário'!$B$2:$B$156="Rogério Matos")*('Log Diário'!$A$2:$A$156=Painel!$B$4),ROW('Log Diário'!$A$2:$A$156)-1,""),9)),"")</f>
        <v/>
      </c>
      <c r="L38" s="121"/>
      <c r="M38" s="120" t="str">
        <f t="array" ref="M38">IFERROR(INDEX('Log Diário'!$K$2:$K$156,SMALL(IF(('Log Diário'!$B$2:$B$156="Rogério Matos")*('Log Diário'!$A$2:$A$156=Painel!$B$4),ROW('Log Diário'!$A$2:$A$156)-1,""),9)),"")&amp;""</f>
        <v/>
      </c>
      <c r="N38" s="120"/>
      <c r="O38" s="120"/>
      <c r="P38" s="120"/>
      <c r="Q38" s="120"/>
      <c r="R38" s="120"/>
      <c r="S38" s="77"/>
    </row>
    <row r="39" spans="1:19" ht="3" customHeight="1" x14ac:dyDescent="0.25">
      <c r="A39" s="77"/>
      <c r="B39" s="77"/>
      <c r="C39" s="77" t="str">
        <f t="array" ref="C39">IFERROR(INDEX('Log Diário'!$C$2:$C$156,SMALL(IF(('Log Diário'!$B$2:$B$156="Rogério Matos")*('Log Diário'!$A$2:$A$156=Painel!$B$4),ROW('Log Diário'!$A$2:$A$156)-1,""),10)),"")</f>
        <v/>
      </c>
      <c r="D39" s="77" t="str">
        <f t="array" ref="D39">IFERROR(INDEX('Log Diário'!$D$2:$D$156,SMALL(IF(('Log Diário'!$B$2:$B$156="Rogério Matos")*('Log Diário'!$A$2:$A$156=Painel!$B$4),ROW('Log Diário'!$A$2:$A$156)-1,""),10)),"")</f>
        <v/>
      </c>
      <c r="E39" s="77" t="str">
        <f t="array" ref="E39">IFERROR(INDEX('Log Diário'!$E$2:$E$156,SMALL(IF(('Log Diário'!$B$2:$B$156="Rogério Matos")*('Log Diário'!$A$2:$A$156=Painel!$B$4),ROW('Log Diário'!$A$2:$A$156)-1,""),10)),"")</f>
        <v/>
      </c>
      <c r="F39" s="120" t="str">
        <f t="array" ref="F39">IFERROR(INDEX('Log Diário'!$F$2:$F$156,SMALL(IF(('Log Diário'!$B$2:$B$156="Rogério Matos")*('Log Diário'!$A$2:$A$156=Painel!$B$4),ROW('Log Diário'!$A$2:$A$156)-1,""),10)),"")</f>
        <v/>
      </c>
      <c r="G39" s="120"/>
      <c r="H39" s="120"/>
      <c r="I39" s="120"/>
      <c r="J39" s="120"/>
      <c r="K39" s="121" t="str">
        <f t="array" ref="K39">IFERROR(INDEX('Log Diário'!$I$2:$I$156,SMALL(IF(('Log Diário'!$B$2:$B$156="Rogério Matos")*('Log Diário'!$A$2:$A$156=Painel!$B$4),ROW('Log Diário'!$A$2:$A$156)-1,""),10)),"")</f>
        <v/>
      </c>
      <c r="L39" s="121"/>
      <c r="M39" s="120" t="str">
        <f t="array" ref="M39">IFERROR(INDEX('Log Diário'!$K$2:$K$156,SMALL(IF(('Log Diário'!$B$2:$B$156="Rogério Matos")*('Log Diário'!$A$2:$A$156=Painel!$B$4),ROW('Log Diário'!$A$2:$A$156)-1,""),10)),"")&amp;""</f>
        <v/>
      </c>
      <c r="N39" s="120"/>
      <c r="O39" s="120"/>
      <c r="P39" s="120"/>
      <c r="Q39" s="120"/>
      <c r="R39" s="120"/>
      <c r="S39" s="77"/>
    </row>
    <row r="41" spans="1:19" ht="21.75" customHeight="1" x14ac:dyDescent="0.25">
      <c r="C41" s="122" t="str">
        <f>IF(COUNTIFS('Log Diário'!$B$2:$B$699,"Rogério Matos",'Log Diário'!$A$2:$A$699,Painel!$B$4)=0,"⚠ Nenhuma atividade registrada para "&amp;TEXT(Painel!$B$4,"DD/MM/YYYY")&amp;" — relatório diário pendente","")</f>
        <v/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</row>
    <row r="42" spans="1:19" ht="15" customHeight="1" x14ac:dyDescent="0.25">
      <c r="C42" s="123" t="s">
        <v>503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</row>
    <row r="199" spans="3:4" ht="15" customHeight="1" x14ac:dyDescent="0.25">
      <c r="C199" s="78" t="s">
        <v>504</v>
      </c>
      <c r="D199" s="78" t="s">
        <v>505</v>
      </c>
    </row>
    <row r="200" spans="3:4" ht="15" customHeight="1" x14ac:dyDescent="0.25">
      <c r="C200" s="79" t="str">
        <f>IF(D200=0,"","Não iniciado")</f>
        <v/>
      </c>
      <c r="D200" s="79">
        <f>COUNTIFS('Log Diário'!$B$2:$B$699,"Rogério Matos",'Log Diário'!$A$2:$A$699,Painel!$B$4,'Log Diário'!$I$2:$I$699,"Não iniciado")</f>
        <v>0</v>
      </c>
    </row>
    <row r="201" spans="3:4" ht="15" customHeight="1" x14ac:dyDescent="0.25">
      <c r="C201" s="79" t="str">
        <f>IF(D201=0,"","Em andamento")</f>
        <v>Em andamento</v>
      </c>
      <c r="D201" s="79">
        <f>COUNTIFS('Log Diário'!$B$2:$B$699,"Rogério Matos",'Log Diário'!$A$2:$A$699,Painel!$B$4,'Log Diário'!$I$2:$I$699,"Em andamento")</f>
        <v>3</v>
      </c>
    </row>
    <row r="202" spans="3:4" ht="15" customHeight="1" x14ac:dyDescent="0.25">
      <c r="C202" s="79" t="str">
        <f>IF(D202=0,"","Acompanhamento")</f>
        <v/>
      </c>
      <c r="D202" s="79">
        <f>COUNTIFS('Log Diário'!$B$2:$B$699,"Rogério Matos",'Log Diário'!$A$2:$A$699,Painel!$B$4,'Log Diário'!$I$2:$I$699,"Acompanhamento")</f>
        <v>0</v>
      </c>
    </row>
    <row r="203" spans="3:4" ht="15" customHeight="1" x14ac:dyDescent="0.25">
      <c r="C203" s="79" t="str">
        <f>IF(D203=0,"","Inspecionado OK")</f>
        <v/>
      </c>
      <c r="D203" s="79">
        <f>COUNTIFS('Log Diário'!$B$2:$B$699,"Rogério Matos",'Log Diário'!$A$2:$A$699,Painel!$B$4,'Log Diário'!$I$2:$I$699,"Inspecionado OK")</f>
        <v>0</v>
      </c>
    </row>
    <row r="204" spans="3:4" ht="15" customHeight="1" x14ac:dyDescent="0.25">
      <c r="C204" s="79" t="str">
        <f>IF(D204=0,"","Pendência")</f>
        <v/>
      </c>
      <c r="D204" s="79">
        <f>COUNTIFS('Log Diário'!$B$2:$B$699,"Rogério Matos",'Log Diário'!$A$2:$A$699,Painel!$B$4,'Log Diário'!$I$2:$I$699,"Pendência")</f>
        <v>0</v>
      </c>
    </row>
    <row r="205" spans="3:4" ht="15" customHeight="1" x14ac:dyDescent="0.25">
      <c r="C205" s="79" t="str">
        <f>IF(D205=0,"","Reprovado")</f>
        <v/>
      </c>
      <c r="D205" s="79">
        <f>COUNTIFS('Log Diário'!$B$2:$B$699,"Rogério Matos",'Log Diário'!$A$2:$A$699,Painel!$B$4,'Log Diário'!$I$2:$I$699,"Reprovado")</f>
        <v>0</v>
      </c>
    </row>
  </sheetData>
  <mergeCells count="52">
    <mergeCell ref="F39:J39"/>
    <mergeCell ref="K39:L39"/>
    <mergeCell ref="M39:R39"/>
    <mergeCell ref="C41:N41"/>
    <mergeCell ref="C42:N42"/>
    <mergeCell ref="F37:J37"/>
    <mergeCell ref="K37:L37"/>
    <mergeCell ref="M37:R37"/>
    <mergeCell ref="F38:J38"/>
    <mergeCell ref="K38:L38"/>
    <mergeCell ref="M38:R38"/>
    <mergeCell ref="F35:J35"/>
    <mergeCell ref="K35:L35"/>
    <mergeCell ref="M35:R35"/>
    <mergeCell ref="F36:J36"/>
    <mergeCell ref="K36:L36"/>
    <mergeCell ref="M36:R36"/>
    <mergeCell ref="F33:J33"/>
    <mergeCell ref="K33:L33"/>
    <mergeCell ref="M33:R33"/>
    <mergeCell ref="F34:J34"/>
    <mergeCell ref="K34:L34"/>
    <mergeCell ref="M34:R34"/>
    <mergeCell ref="F31:J31"/>
    <mergeCell ref="K31:L31"/>
    <mergeCell ref="M31:R31"/>
    <mergeCell ref="F32:J32"/>
    <mergeCell ref="K32:L32"/>
    <mergeCell ref="M32:R32"/>
    <mergeCell ref="F29:J29"/>
    <mergeCell ref="K29:L29"/>
    <mergeCell ref="M29:R29"/>
    <mergeCell ref="F30:J30"/>
    <mergeCell ref="K30:L30"/>
    <mergeCell ref="M30:R30"/>
    <mergeCell ref="H12:N12"/>
    <mergeCell ref="H13:N14"/>
    <mergeCell ref="H15:N15"/>
    <mergeCell ref="H16:N17"/>
    <mergeCell ref="C28:N28"/>
    <mergeCell ref="C6:F8"/>
    <mergeCell ref="G6:J8"/>
    <mergeCell ref="K6:N8"/>
    <mergeCell ref="C9:N9"/>
    <mergeCell ref="C10:N10"/>
    <mergeCell ref="C1:N1"/>
    <mergeCell ref="C2:N2"/>
    <mergeCell ref="C3:L3"/>
    <mergeCell ref="M3:N3"/>
    <mergeCell ref="C5:F5"/>
    <mergeCell ref="G5:J5"/>
    <mergeCell ref="K5:N5"/>
  </mergeCells>
  <conditionalFormatting sqref="A30:R39">
    <cfRule type="expression" dxfId="104" priority="36">
      <formula>$C30=""</formula>
    </cfRule>
  </conditionalFormatting>
  <conditionalFormatting sqref="K30:L39">
    <cfRule type="cellIs" dxfId="103" priority="2" operator="equal">
      <formula>"Não iniciado"</formula>
    </cfRule>
    <cfRule type="cellIs" dxfId="102" priority="3" operator="equal">
      <formula>"Em andamento"</formula>
    </cfRule>
    <cfRule type="cellIs" dxfId="101" priority="4" operator="equal">
      <formula>"Acompanhamento"</formula>
    </cfRule>
    <cfRule type="cellIs" dxfId="100" priority="5" operator="equal">
      <formula>"Inspecionado OK"</formula>
    </cfRule>
    <cfRule type="cellIs" dxfId="99" priority="6" operator="equal">
      <formula>"Pendência"</formula>
    </cfRule>
    <cfRule type="cellIs" dxfId="98" priority="7" operator="equal">
      <formula>"Reprovado"</formula>
    </cfRule>
    <cfRule type="cellIs" dxfId="97" priority="16" operator="equal">
      <formula>"Reprovado parcial"</formula>
    </cfRule>
    <cfRule type="cellIs" dxfId="96" priority="17" operator="equal">
      <formula>"Recebido"</formula>
    </cfRule>
    <cfRule type="cellIs" dxfId="95" priority="18" operator="equal">
      <formula>"Recebido parcial"</formula>
    </cfRule>
    <cfRule type="cellIs" dxfId="94" priority="11" operator="equal">
      <formula>"Finalizado"</formula>
    </cfRule>
    <cfRule type="cellIs" dxfId="93" priority="12" operator="equal">
      <formula>"Aprovado"</formula>
    </cfRule>
    <cfRule type="cellIs" dxfId="92" priority="19" operator="equal">
      <formula>"Inspecionado"</formula>
    </cfRule>
    <cfRule type="cellIs" dxfId="91" priority="15" operator="equal">
      <formula>"Não finalizado"</formula>
    </cfRule>
  </conditionalFormatting>
  <conditionalFormatting sqref="M30:R39">
    <cfRule type="expression" dxfId="90" priority="20">
      <formula>NOT(ISERROR(SEARCH("CHECK-IN",M30)))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205"/>
  <sheetViews>
    <sheetView showGridLines="0" zoomScaleNormal="100" workbookViewId="0"/>
  </sheetViews>
  <sheetFormatPr defaultColWidth="8.7109375" defaultRowHeight="15" x14ac:dyDescent="0.25"/>
  <cols>
    <col min="1" max="2" width="3" customWidth="1"/>
    <col min="3" max="14" width="11" customWidth="1"/>
    <col min="15" max="18" width="14" customWidth="1"/>
  </cols>
  <sheetData>
    <row r="1" spans="3:14" ht="36" customHeight="1" x14ac:dyDescent="0.25">
      <c r="C1" s="124" t="s">
        <v>506</v>
      </c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3:14" ht="21.75" customHeight="1" x14ac:dyDescent="0.25">
      <c r="C2" s="106" t="s">
        <v>507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3:14" ht="21.75" customHeight="1" x14ac:dyDescent="0.25">
      <c r="C3" s="107" t="s">
        <v>497</v>
      </c>
      <c r="D3" s="107"/>
      <c r="E3" s="107"/>
      <c r="F3" s="107"/>
      <c r="G3" s="107"/>
      <c r="H3" s="107"/>
      <c r="I3" s="107"/>
      <c r="J3" s="107"/>
      <c r="K3" s="107"/>
      <c r="L3" s="107"/>
      <c r="M3" s="108">
        <f>Painel!$B$4</f>
        <v>46203</v>
      </c>
      <c r="N3" s="108"/>
    </row>
    <row r="4" spans="3:14" ht="6" customHeight="1" x14ac:dyDescent="0.25"/>
    <row r="5" spans="3:14" ht="19.5" customHeight="1" x14ac:dyDescent="0.25">
      <c r="C5" s="125" t="s">
        <v>8</v>
      </c>
      <c r="D5" s="125"/>
      <c r="E5" s="125"/>
      <c r="F5" s="125"/>
      <c r="G5" s="109" t="s">
        <v>498</v>
      </c>
      <c r="H5" s="109"/>
      <c r="I5" s="109"/>
      <c r="J5" s="109"/>
      <c r="K5" s="110" t="s">
        <v>499</v>
      </c>
      <c r="L5" s="110"/>
      <c r="M5" s="110"/>
      <c r="N5" s="110"/>
    </row>
    <row r="6" spans="3:14" ht="18" customHeight="1" x14ac:dyDescent="0.25">
      <c r="C6" s="126">
        <f>COUNTIFS('Log Diário'!$B$2:$B$699,"Marcos Antonio",'Log Diário'!$A$2:$A$699,Painel!$B$4)</f>
        <v>2</v>
      </c>
      <c r="D6" s="126"/>
      <c r="E6" s="126"/>
      <c r="F6" s="126"/>
      <c r="G6" s="111">
        <f>COUNTIFS('Log Diário'!$B$2:$B$699,"Marcos Antonio",'Log Diário'!$A$2:$A$699,Painel!$B$4,'Log Diário'!$I$2:$I$699,"Em andamento")+COUNTIFS('Log Diário'!$B$2:$B$699,"Marcos Antonio",'Log Diário'!$A$2:$A$699,Painel!$B$4,'Log Diário'!$I$2:$I$699,"Acompanhamento")</f>
        <v>1</v>
      </c>
      <c r="H6" s="111"/>
      <c r="I6" s="111"/>
      <c r="J6" s="111"/>
      <c r="K6" s="112">
        <f>COUNTIFS('Log Diário'!$B$2:$B$699,"Marcos Antonio",'Log Diário'!$A$2:$A$699,Painel!$B$4,'Log Diário'!$I$2:$I$699,"Pendência")+COUNTIFS('Log Diário'!$B$2:$B$699,"Marcos Antonio",'Log Diário'!$A$2:$A$699,Painel!$B$4,'Log Diário'!$I$2:$I$699,"Reprovado")</f>
        <v>0</v>
      </c>
      <c r="L6" s="112"/>
      <c r="M6" s="112"/>
      <c r="N6" s="112"/>
    </row>
    <row r="7" spans="3:14" ht="18" customHeight="1" x14ac:dyDescent="0.25">
      <c r="C7" s="126"/>
      <c r="D7" s="126"/>
      <c r="E7" s="126"/>
      <c r="F7" s="126"/>
      <c r="G7" s="111"/>
      <c r="H7" s="111"/>
      <c r="I7" s="111"/>
      <c r="J7" s="111"/>
      <c r="K7" s="112"/>
      <c r="L7" s="112"/>
      <c r="M7" s="112"/>
      <c r="N7" s="112"/>
    </row>
    <row r="8" spans="3:14" ht="18" customHeight="1" x14ac:dyDescent="0.25">
      <c r="C8" s="126"/>
      <c r="D8" s="126"/>
      <c r="E8" s="126"/>
      <c r="F8" s="126"/>
      <c r="G8" s="111"/>
      <c r="H8" s="111"/>
      <c r="I8" s="111"/>
      <c r="J8" s="111"/>
      <c r="K8" s="112"/>
      <c r="L8" s="112"/>
      <c r="M8" s="112"/>
      <c r="N8" s="112"/>
    </row>
    <row r="9" spans="3:14" ht="6" customHeight="1" x14ac:dyDescent="0.25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3:14" ht="19.5" customHeight="1" x14ac:dyDescent="0.25">
      <c r="C10" s="114" t="str">
        <f>"📈 Total de atividades registradas em "&amp;INDEX({"janeiro";"fevereiro";"março";"abril";"maio";"junho";"julho";"agosto";"setembro";"outubro";"novembro";"dezembro"},MONTH(Painel!$B$4))&amp;"/"&amp;YEAR(Painel!$B$4)&amp;": "&amp;COUNTIFS('Log Diário'!$B$2:$B$699,"Marcos Antonio",'Log Diário'!$A$2:$A$699,"&gt;"&amp;DATE(YEAR(Painel!$B$4),MONTH(Painel!$B$4),1),'Log Diário'!$A$2:$A$699,"&lt;"&amp;DATE(YEAR(Painel!$B$4),MONTH(Painel!$B$4)+1,1))&amp;" atividades"</f>
        <v>📈 Total de atividades registradas em junho/2026: 14 atividades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3:14" ht="7.5" customHeight="1" x14ac:dyDescent="0.25"/>
    <row r="12" spans="3:14" ht="19.5" customHeight="1" x14ac:dyDescent="0.25">
      <c r="H12" s="115" t="s">
        <v>500</v>
      </c>
      <c r="I12" s="115"/>
      <c r="J12" s="115"/>
      <c r="K12" s="115"/>
      <c r="L12" s="115"/>
      <c r="M12" s="115"/>
      <c r="N12" s="115"/>
    </row>
    <row r="13" spans="3:14" ht="15" customHeight="1" x14ac:dyDescent="0.25">
      <c r="H13" s="127" t="str">
        <f>TRIM(IF(COUNTIFS('Log Diário'!$B$2:$B$699,"Marcos Antonio",'Log Diário'!$A$2:$A$699,Painel!$B$4,'Log Diário'!$C$2:$C$699,"ELE")&gt;0,"ELE  ","")&amp;IF(COUNTIFS('Log Diário'!$B$2:$B$699,"Marcos Antonio",'Log Diário'!$A$2:$A$699,Painel!$B$4,'Log Diário'!$C$2:$C$699,"TUB")&gt;0,"TUB  ","")&amp;IF(COUNTIFS('Log Diário'!$B$2:$B$699,"Marcos Antonio",'Log Diário'!$A$2:$A$699,Painel!$B$4,'Log Diário'!$C$2:$C$699,"MEC")&gt;0,"MEC  ","")&amp;IF(COUNTIFS('Log Diário'!$B$2:$B$699,"Marcos Antonio",'Log Diário'!$A$2:$A$699,Painel!$B$4,'Log Diário'!$C$2:$C$699,"SOLDA")&gt;0,"SOLDA  ","")&amp;IF(COUNTIFS('Log Diário'!$B$2:$B$699,"Marcos Antonio",'Log Diário'!$A$2:$A$699,Painel!$B$4,'Log Diário'!$C$2:$C$699,"AND")&gt;0,"AND  ","")&amp;IF(COUNTIFS('Log Diário'!$B$2:$B$699,"Marcos Antonio",'Log Diário'!$A$2:$A$699,Painel!$B$4,'Log Diário'!$C$2:$C$699,"ADM")&gt;0,"ADM  ",""))</f>
        <v/>
      </c>
      <c r="I13" s="127"/>
      <c r="J13" s="127"/>
      <c r="K13" s="127"/>
      <c r="L13" s="127"/>
      <c r="M13" s="127"/>
      <c r="N13" s="127"/>
    </row>
    <row r="14" spans="3:14" ht="15" customHeight="1" x14ac:dyDescent="0.25">
      <c r="H14" s="127"/>
      <c r="I14" s="127"/>
      <c r="J14" s="127"/>
      <c r="K14" s="127"/>
      <c r="L14" s="127"/>
      <c r="M14" s="127"/>
      <c r="N14" s="127"/>
    </row>
    <row r="15" spans="3:14" ht="19.5" customHeight="1" x14ac:dyDescent="0.25">
      <c r="H15" s="115" t="s">
        <v>501</v>
      </c>
      <c r="I15" s="115"/>
      <c r="J15" s="115"/>
      <c r="K15" s="115"/>
      <c r="L15" s="115"/>
      <c r="M15" s="115"/>
      <c r="N15" s="115"/>
    </row>
    <row r="16" spans="3:14" ht="15" customHeight="1" x14ac:dyDescent="0.25">
      <c r="H16" s="128" t="str">
        <f t="array" ref="H16">IF(RIGHT(IFERROR(INDEX('Log Diário'!$D$2:$D$699,SMALL(IF(('Log Diário'!$B$2:$B$699="Marcos Antonio")*('Log Diário'!$A$2:$A$699=Painel!$B$4),ROW('Log Diário'!$A$2:$A$699)-1,""),1))&amp;"   |   ","")&amp;IFERROR(INDEX('Log Diário'!$D$2:$D$699,SMALL(IF(('Log Diário'!$B$2:$B$699="Marcos Antonio")*('Log Diário'!$A$2:$A$699=Painel!$B$4),ROW('Log Diário'!$A$2:$A$699)-1,""),2))&amp;"   |   ","")&amp;IFERROR(INDEX('Log Diário'!$D$2:$D$699,SMALL(IF(('Log Diário'!$B$2:$B$699="Marcos Antonio")*('Log Diário'!$A$2:$A$699=Painel!$B$4),ROW('Log Diário'!$A$2:$A$699)-1,""),3))&amp;"   |   ","")&amp;IFERROR(INDEX('Log Diário'!$D$2:$D$699,SMALL(IF(('Log Diário'!$B$2:$B$699="Marcos Antonio")*('Log Diário'!$A$2:$A$699=Painel!$B$4),ROW('Log Diário'!$A$2:$A$699)-1,""),4))&amp;"   |   ","")&amp;IFERROR(INDEX('Log Diário'!$D$2:$D$699,SMALL(IF(('Log Diário'!$B$2:$B$699="Marcos Antonio")*('Log Diário'!$A$2:$A$699=Painel!$B$4),ROW('Log Diário'!$A$2:$A$699)-1,""),5))&amp;"   |   ","")&amp;IFERROR(INDEX('Log Diário'!$D$2:$D$699,SMALL(IF(('Log Diário'!$B$2:$B$699="Marcos Antonio")*('Log Diário'!$A$2:$A$699=Painel!$B$4),ROW('Log Diário'!$A$2:$A$699)-1,""),6))&amp;"   |   ",""),7)="   |   ",LEFT(IFERROR(INDEX('Log Diário'!$D$2:$D$699,SMALL(IF(('Log Diário'!$B$2:$B$699="Marcos Antonio")*('Log Diário'!$A$2:$A$699=Painel!$B$4),ROW('Log Diário'!$A$2:$A$699)-1,""),1))&amp;"   |   ","")&amp;IFERROR(INDEX('Log Diário'!$D$2:$D$699,SMALL(IF(('Log Diário'!$B$2:$B$699="Marcos Antonio")*('Log Diário'!$A$2:$A$699=Painel!$B$4),ROW('Log Diário'!$A$2:$A$699)-1,""),2))&amp;"   |   ","")&amp;IFERROR(INDEX('Log Diário'!$D$2:$D$699,SMALL(IF(('Log Diário'!$B$2:$B$699="Marcos Antonio")*('Log Diário'!$A$2:$A$699=Painel!$B$4),ROW('Log Diário'!$A$2:$A$699)-1,""),3))&amp;"   |   ","")&amp;IFERROR(INDEX('Log Diário'!$D$2:$D$699,SMALL(IF(('Log Diário'!$B$2:$B$699="Marcos Antonio")*('Log Diário'!$A$2:$A$699=Painel!$B$4),ROW('Log Diário'!$A$2:$A$699)-1,""),4))&amp;"   |   ","")&amp;IFERROR(INDEX('Log Diário'!$D$2:$D$699,SMALL(IF(('Log Diário'!$B$2:$B$699="Marcos Antonio")*('Log Diário'!$A$2:$A$699=Painel!$B$4),ROW('Log Diário'!$A$2:$A$699)-1,""),5))&amp;"   |   ","")&amp;IFERROR(INDEX('Log Diário'!$D$2:$D$699,SMALL(IF(('Log Diário'!$B$2:$B$699="Marcos Antonio")*('Log Diário'!$A$2:$A$699=Painel!$B$4),ROW('Log Diário'!$A$2:$A$699)-1,""),6))&amp;"   |   ",""),LEN(IFERROR(INDEX('Log Diário'!$D$2:$D$699,SMALL(IF(('Log Diário'!$B$2:$B$699="Marcos Antonio")*('Log Diário'!$A$2:$A$699=Painel!$B$4),ROW('Log Diário'!$A$2:$A$699)-1,""),1))&amp;"   |   ","")&amp;IFERROR(INDEX('Log Diário'!$D$2:$D$699,SMALL(IF(('Log Diário'!$B$2:$B$699="Marcos Antonio")*('Log Diário'!$A$2:$A$699=Painel!$B$4),ROW('Log Diário'!$A$2:$A$699)-1,""),2))&amp;"   |   ","")&amp;IFERROR(INDEX('Log Diário'!$D$2:$D$699,SMALL(IF(('Log Diário'!$B$2:$B$699="Marcos Antonio")*('Log Diário'!$A$2:$A$699=Painel!$B$4),ROW('Log Diário'!$A$2:$A$699)-1,""),3))&amp;"   |   ","")&amp;IFERROR(INDEX('Log Diário'!$D$2:$D$699,SMALL(IF(('Log Diário'!$B$2:$B$699="Marcos Antonio")*('Log Diário'!$A$2:$A$699=Painel!$B$4),ROW('Log Diário'!$A$2:$A$699)-1,""),4))&amp;"   |   ","")&amp;IFERROR(INDEX('Log Diário'!$D$2:$D$699,SMALL(IF(('Log Diário'!$B$2:$B$699="Marcos Antonio")*('Log Diário'!$A$2:$A$699=Painel!$B$4),ROW('Log Diário'!$A$2:$A$699)-1,""),5))&amp;"   |   ","")&amp;IFERROR(INDEX('Log Diário'!$D$2:$D$699,SMALL(IF(('Log Diário'!$B$2:$B$699="Marcos Antonio")*('Log Diário'!$A$2:$A$699=Painel!$B$4),ROW('Log Diário'!$A$2:$A$699)-1,""),6))&amp;"   |   ",""))-7),IFERROR(INDEX('Log Diário'!$D$2:$D$699,SMALL(IF(('Log Diário'!$B$2:$B$699="Marcos Antonio")*('Log Diário'!$A$2:$A$699=Painel!$B$4),ROW('Log Diário'!$A$2:$A$699)-1,""),1))&amp;"   |   ","")&amp;IFERROR(INDEX('Log Diário'!$D$2:$D$699,SMALL(IF(('Log Diário'!$B$2:$B$699="Marcos Antonio")*('Log Diário'!$A$2:$A$699=Painel!$B$4),ROW('Log Diário'!$A$2:$A$699)-1,""),2))&amp;"   |   ","")&amp;IFERROR(INDEX('Log Diário'!$D$2:$D$699,SMALL(IF(('Log Diário'!$B$2:$B$699="Marcos Antonio")*('Log Diário'!$A$2:$A$699=Painel!$B$4),ROW('Log Diário'!$A$2:$A$699)-1,""),3))&amp;"   |   ","")&amp;IFERROR(INDEX('Log Diário'!$D$2:$D$699,SMALL(IF(('Log Diário'!$B$2:$B$699="Marcos Antonio")*('Log Diário'!$A$2:$A$699=Painel!$B$4),ROW('Log Diário'!$A$2:$A$699)-1,""),4))&amp;"   |   ","")&amp;IFERROR(INDEX('Log Diário'!$D$2:$D$699,SMALL(IF(('Log Diário'!$B$2:$B$699="Marcos Antonio")*('Log Diário'!$A$2:$A$699=Painel!$B$4),ROW('Log Diário'!$A$2:$A$699)-1,""),5))&amp;"   |   ","")&amp;IFERROR(INDEX('Log Diário'!$D$2:$D$699,SMALL(IF(('Log Diário'!$B$2:$B$699="Marcos Antonio")*('Log Diário'!$A$2:$A$699=Painel!$B$4),ROW('Log Diário'!$A$2:$A$699)-1,""),6))&amp;"   |   ",""))</f>
        <v>Platô 16   |   Platô 9A</v>
      </c>
      <c r="I16" s="128"/>
      <c r="J16" s="128"/>
      <c r="K16" s="128"/>
      <c r="L16" s="128"/>
      <c r="M16" s="128"/>
      <c r="N16" s="128"/>
    </row>
    <row r="17" spans="1:19" ht="15" customHeight="1" x14ac:dyDescent="0.25">
      <c r="H17" s="128"/>
      <c r="I17" s="128"/>
      <c r="J17" s="128"/>
      <c r="K17" s="128"/>
      <c r="L17" s="128"/>
      <c r="M17" s="128"/>
      <c r="N17" s="128"/>
    </row>
    <row r="18" spans="1:19" ht="13.5" customHeight="1" x14ac:dyDescent="0.25"/>
    <row r="19" spans="1:19" ht="13.5" customHeight="1" x14ac:dyDescent="0.25"/>
    <row r="20" spans="1:19" ht="13.5" customHeight="1" x14ac:dyDescent="0.25"/>
    <row r="21" spans="1:19" ht="13.5" customHeight="1" x14ac:dyDescent="0.25"/>
    <row r="22" spans="1:19" ht="13.5" customHeight="1" x14ac:dyDescent="0.25"/>
    <row r="23" spans="1:19" ht="13.5" customHeight="1" x14ac:dyDescent="0.25"/>
    <row r="24" spans="1:19" ht="13.5" customHeight="1" x14ac:dyDescent="0.25"/>
    <row r="25" spans="1:19" ht="13.5" customHeight="1" x14ac:dyDescent="0.25"/>
    <row r="26" spans="1:19" ht="13.5" customHeight="1" x14ac:dyDescent="0.25"/>
    <row r="28" spans="1:19" ht="24" customHeight="1" x14ac:dyDescent="0.25">
      <c r="C28" s="7" t="str">
        <f>"🗓️ ATIVIDADES DE HOJE — "&amp;TEXT(Painel!$B$4,"DD/MM/YYYY")</f>
        <v>🗓️ ATIVIDADES DE HOJE — 30/06/YYYY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9" ht="19.5" customHeight="1" x14ac:dyDescent="0.25">
      <c r="C29" s="62" t="s">
        <v>20</v>
      </c>
      <c r="D29" s="62" t="s">
        <v>21</v>
      </c>
      <c r="E29" s="62" t="s">
        <v>22</v>
      </c>
      <c r="F29" s="118" t="s">
        <v>23</v>
      </c>
      <c r="G29" s="118"/>
      <c r="H29" s="118"/>
      <c r="I29" s="118"/>
      <c r="J29" s="118"/>
      <c r="K29" s="118" t="s">
        <v>24</v>
      </c>
      <c r="L29" s="118"/>
      <c r="M29" s="119" t="s">
        <v>502</v>
      </c>
      <c r="N29" s="119"/>
      <c r="O29" s="119"/>
      <c r="P29" s="119"/>
      <c r="Q29" s="119"/>
      <c r="R29" s="119"/>
    </row>
    <row r="30" spans="1:19" ht="27.75" customHeight="1" x14ac:dyDescent="0.25">
      <c r="A30" s="80"/>
      <c r="B30" s="80"/>
      <c r="C30" s="81" t="str">
        <f t="array" ref="C30">IFERROR(INDEX('Log Diário'!$C$2:$C$156,SMALL(IF(('Log Diário'!$B$2:$B$156="Marcos Antonio")*('Log Diário'!$A$2:$A$156=Painel!$B$4),ROW('Log Diário'!$A$2:$A$156)-1,""),1)),"")</f>
        <v>MAT</v>
      </c>
      <c r="D30" s="21" t="str">
        <f t="array" ref="D30">IFERROR(INDEX('Log Diário'!$D$2:$D$156,SMALL(IF(('Log Diário'!$B$2:$B$156="Marcos Antonio")*('Log Diário'!$A$2:$A$156=Painel!$B$4),ROW('Log Diário'!$A$2:$A$156)-1,""),1)),"")</f>
        <v>Platô 16</v>
      </c>
      <c r="E30" s="21" t="str">
        <f t="array" ref="E30">IFERROR(INDEX('Log Diário'!$E$2:$E$156,SMALL(IF(('Log Diário'!$B$2:$B$156="Marcos Antonio")*('Log Diário'!$A$2:$A$156=Painel!$B$4),ROW('Log Diário'!$A$2:$A$156)-1,""),1)),"")</f>
        <v>Arlem</v>
      </c>
      <c r="F30" s="97" t="str">
        <f t="array" ref="F30">IFERROR(INDEX('Log Diário'!$F$2:$F$156,SMALL(IF(('Log Diário'!$B$2:$B$156="Marcos Antonio")*('Log Diário'!$A$2:$A$156=Painel!$B$4),ROW('Log Diário'!$A$2:$A$156)-1,""),1)),"")</f>
        <v>Recebimento de parafusos</v>
      </c>
      <c r="G30" s="97"/>
      <c r="H30" s="97"/>
      <c r="I30" s="97"/>
      <c r="J30" s="97"/>
      <c r="K30" s="129" t="str">
        <f t="array" ref="K30">IFERROR(INDEX('Log Diário'!$I$2:$I$156,SMALL(IF(('Log Diário'!$B$2:$B$156="Marcos Antonio")*('Log Diário'!$A$2:$A$156=Painel!$B$4),ROW('Log Diário'!$A$2:$A$156)-1,""),1)),"")</f>
        <v>Encerrado</v>
      </c>
      <c r="L30" s="129"/>
      <c r="M30" s="130" t="str">
        <f t="array" ref="M30">IFERROR(INDEX('Log Diário'!$K$2:$K$156,SMALL(IF(('Log Diário'!$B$2:$B$156="Marcos Antonio")*('Log Diário'!$A$2:$A$156=Painel!$B$4),ROW('Log Diário'!$A$2:$A$156)-1,""),1)),"")&amp;""</f>
        <v/>
      </c>
      <c r="N30" s="130"/>
      <c r="O30" s="130"/>
      <c r="P30" s="130"/>
      <c r="Q30" s="130"/>
      <c r="R30" s="130"/>
      <c r="S30" s="21"/>
    </row>
    <row r="31" spans="1:19" ht="27.75" customHeight="1" x14ac:dyDescent="0.25">
      <c r="A31" s="77"/>
      <c r="B31" s="77"/>
      <c r="C31" s="77" t="str">
        <f t="array" ref="C31">IFERROR(INDEX('Log Diário'!$C$2:$C$156,SMALL(IF(('Log Diário'!$B$2:$B$156="Marcos Antonio")*('Log Diário'!$A$2:$A$156=Painel!$B$4),ROW('Log Diário'!$A$2:$A$156)-1,""),2)),"")</f>
        <v>MAT</v>
      </c>
      <c r="D31" s="77" t="str">
        <f t="array" ref="D31">IFERROR(INDEX('Log Diário'!$D$2:$D$156,SMALL(IF(('Log Diário'!$B$2:$B$156="Marcos Antonio")*('Log Diário'!$A$2:$A$156=Painel!$B$4),ROW('Log Diário'!$A$2:$A$156)-1,""),2)),"")</f>
        <v>Platô 9A</v>
      </c>
      <c r="E31" s="77" t="str">
        <f t="array" ref="E31">IFERROR(INDEX('Log Diário'!$E$2:$E$156,SMALL(IF(('Log Diário'!$B$2:$B$156="Marcos Antonio")*('Log Diário'!$A$2:$A$156=Painel!$B$4),ROW('Log Diário'!$A$2:$A$156)-1,""),2)),"")</f>
        <v>Leonildo</v>
      </c>
      <c r="F31" s="120" t="str">
        <f t="array" ref="F31">IFERROR(INDEX('Log Diário'!$F$2:$F$156,SMALL(IF(('Log Diário'!$B$2:$B$156="Marcos Antonio")*('Log Diário'!$A$2:$A$156=Painel!$B$4),ROW('Log Diário'!$A$2:$A$156)-1,""),2)),"")</f>
        <v>Preservação — Colunas de Flotação</v>
      </c>
      <c r="G31" s="120"/>
      <c r="H31" s="120"/>
      <c r="I31" s="120"/>
      <c r="J31" s="120"/>
      <c r="K31" s="121" t="str">
        <f t="array" ref="K31">IFERROR(INDEX('Log Diário'!$I$2:$I$156,SMALL(IF(('Log Diário'!$B$2:$B$156="Marcos Antonio")*('Log Diário'!$A$2:$A$156=Painel!$B$4),ROW('Log Diário'!$A$2:$A$156)-1,""),2)),"")</f>
        <v>Em andamento</v>
      </c>
      <c r="L31" s="121"/>
      <c r="M31" s="120" t="str">
        <f t="array" ref="M31">IFERROR(INDEX('Log Diário'!$K$2:$K$156,SMALL(IF(('Log Diário'!$B$2:$B$156="Marcos Antonio")*('Log Diário'!$A$2:$A$156=Painel!$B$4),ROW('Log Diário'!$A$2:$A$156)-1,""),2)),"")&amp;""</f>
        <v/>
      </c>
      <c r="N31" s="120"/>
      <c r="O31" s="120"/>
      <c r="P31" s="120"/>
      <c r="Q31" s="120"/>
      <c r="R31" s="120"/>
      <c r="S31" s="77"/>
    </row>
    <row r="32" spans="1:19" ht="3" customHeight="1" x14ac:dyDescent="0.25">
      <c r="A32" s="77"/>
      <c r="B32" s="77"/>
      <c r="C32" s="77" t="str">
        <f t="array" ref="C32">IFERROR(INDEX('Log Diário'!$C$2:$C$156,SMALL(IF(('Log Diário'!$B$2:$B$156="Marcos Antonio")*('Log Diário'!$A$2:$A$156=Painel!$B$4),ROW('Log Diário'!$A$2:$A$156)-1,""),3)),"")</f>
        <v/>
      </c>
      <c r="D32" s="77" t="str">
        <f t="array" ref="D32">IFERROR(INDEX('Log Diário'!$D$2:$D$156,SMALL(IF(('Log Diário'!$B$2:$B$156="Marcos Antonio")*('Log Diário'!$A$2:$A$156=Painel!$B$4),ROW('Log Diário'!$A$2:$A$156)-1,""),3)),"")</f>
        <v/>
      </c>
      <c r="E32" s="77" t="str">
        <f t="array" ref="E32">IFERROR(INDEX('Log Diário'!$E$2:$E$156,SMALL(IF(('Log Diário'!$B$2:$B$156="Marcos Antonio")*('Log Diário'!$A$2:$A$156=Painel!$B$4),ROW('Log Diário'!$A$2:$A$156)-1,""),3)),"")</f>
        <v/>
      </c>
      <c r="F32" s="120" t="str">
        <f t="array" ref="F32">IFERROR(INDEX('Log Diário'!$F$2:$F$156,SMALL(IF(('Log Diário'!$B$2:$B$156="Marcos Antonio")*('Log Diário'!$A$2:$A$156=Painel!$B$4),ROW('Log Diário'!$A$2:$A$156)-1,""),3)),"")</f>
        <v/>
      </c>
      <c r="G32" s="120"/>
      <c r="H32" s="120"/>
      <c r="I32" s="120"/>
      <c r="J32" s="120"/>
      <c r="K32" s="121" t="str">
        <f t="array" ref="K32">IFERROR(INDEX('Log Diário'!$I$2:$I$156,SMALL(IF(('Log Diário'!$B$2:$B$156="Marcos Antonio")*('Log Diário'!$A$2:$A$156=Painel!$B$4),ROW('Log Diário'!$A$2:$A$156)-1,""),3)),"")</f>
        <v/>
      </c>
      <c r="L32" s="121"/>
      <c r="M32" s="120" t="str">
        <f t="array" ref="M32">IFERROR(INDEX('Log Diário'!$K$2:$K$156,SMALL(IF(('Log Diário'!$B$2:$B$156="Marcos Antonio")*('Log Diário'!$A$2:$A$156=Painel!$B$4),ROW('Log Diário'!$A$2:$A$156)-1,""),3)),"")&amp;""</f>
        <v/>
      </c>
      <c r="N32" s="120"/>
      <c r="O32" s="120"/>
      <c r="P32" s="120"/>
      <c r="Q32" s="120"/>
      <c r="R32" s="120"/>
      <c r="S32" s="77"/>
    </row>
    <row r="33" spans="1:19" ht="3" customHeight="1" x14ac:dyDescent="0.25">
      <c r="A33" s="77"/>
      <c r="B33" s="77"/>
      <c r="C33" s="77" t="str">
        <f t="array" ref="C33">IFERROR(INDEX('Log Diário'!$C$2:$C$156,SMALL(IF(('Log Diário'!$B$2:$B$156="Marcos Antonio")*('Log Diário'!$A$2:$A$156=Painel!$B$4),ROW('Log Diário'!$A$2:$A$156)-1,""),4)),"")</f>
        <v/>
      </c>
      <c r="D33" s="77" t="str">
        <f t="array" ref="D33">IFERROR(INDEX('Log Diário'!$D$2:$D$156,SMALL(IF(('Log Diário'!$B$2:$B$156="Marcos Antonio")*('Log Diário'!$A$2:$A$156=Painel!$B$4),ROW('Log Diário'!$A$2:$A$156)-1,""),4)),"")</f>
        <v/>
      </c>
      <c r="E33" s="77" t="str">
        <f t="array" ref="E33">IFERROR(INDEX('Log Diário'!$E$2:$E$156,SMALL(IF(('Log Diário'!$B$2:$B$156="Marcos Antonio")*('Log Diário'!$A$2:$A$156=Painel!$B$4),ROW('Log Diário'!$A$2:$A$156)-1,""),4)),"")</f>
        <v/>
      </c>
      <c r="F33" s="120" t="str">
        <f t="array" ref="F33">IFERROR(INDEX('Log Diário'!$F$2:$F$156,SMALL(IF(('Log Diário'!$B$2:$B$156="Marcos Antonio")*('Log Diário'!$A$2:$A$156=Painel!$B$4),ROW('Log Diário'!$A$2:$A$156)-1,""),4)),"")</f>
        <v/>
      </c>
      <c r="G33" s="120"/>
      <c r="H33" s="120"/>
      <c r="I33" s="120"/>
      <c r="J33" s="120"/>
      <c r="K33" s="121" t="str">
        <f t="array" ref="K33">IFERROR(INDEX('Log Diário'!$I$2:$I$156,SMALL(IF(('Log Diário'!$B$2:$B$156="Marcos Antonio")*('Log Diário'!$A$2:$A$156=Painel!$B$4),ROW('Log Diário'!$A$2:$A$156)-1,""),4)),"")</f>
        <v/>
      </c>
      <c r="L33" s="121"/>
      <c r="M33" s="120" t="str">
        <f t="array" ref="M33">IFERROR(INDEX('Log Diário'!$K$2:$K$156,SMALL(IF(('Log Diário'!$B$2:$B$156="Marcos Antonio")*('Log Diário'!$A$2:$A$156=Painel!$B$4),ROW('Log Diário'!$A$2:$A$156)-1,""),4)),"")&amp;""</f>
        <v/>
      </c>
      <c r="N33" s="120"/>
      <c r="O33" s="120"/>
      <c r="P33" s="120"/>
      <c r="Q33" s="120"/>
      <c r="R33" s="120"/>
      <c r="S33" s="77"/>
    </row>
    <row r="34" spans="1:19" ht="3" customHeight="1" x14ac:dyDescent="0.25">
      <c r="A34" s="77"/>
      <c r="B34" s="77"/>
      <c r="C34" s="77" t="str">
        <f t="array" ref="C34">IFERROR(INDEX('Log Diário'!$C$2:$C$156,SMALL(IF(('Log Diário'!$B$2:$B$156="Marcos Antonio")*('Log Diário'!$A$2:$A$156=Painel!$B$4),ROW('Log Diário'!$A$2:$A$156)-1,""),5)),"")</f>
        <v/>
      </c>
      <c r="D34" s="77" t="str">
        <f t="array" ref="D34">IFERROR(INDEX('Log Diário'!$D$2:$D$156,SMALL(IF(('Log Diário'!$B$2:$B$156="Marcos Antonio")*('Log Diário'!$A$2:$A$156=Painel!$B$4),ROW('Log Diário'!$A$2:$A$156)-1,""),5)),"")</f>
        <v/>
      </c>
      <c r="E34" s="77" t="str">
        <f t="array" ref="E34">IFERROR(INDEX('Log Diário'!$E$2:$E$156,SMALL(IF(('Log Diário'!$B$2:$B$156="Marcos Antonio")*('Log Diário'!$A$2:$A$156=Painel!$B$4),ROW('Log Diário'!$A$2:$A$156)-1,""),5)),"")</f>
        <v/>
      </c>
      <c r="F34" s="120" t="str">
        <f t="array" ref="F34">IFERROR(INDEX('Log Diário'!$F$2:$F$156,SMALL(IF(('Log Diário'!$B$2:$B$156="Marcos Antonio")*('Log Diário'!$A$2:$A$156=Painel!$B$4),ROW('Log Diário'!$A$2:$A$156)-1,""),5)),"")</f>
        <v/>
      </c>
      <c r="G34" s="120"/>
      <c r="H34" s="120"/>
      <c r="I34" s="120"/>
      <c r="J34" s="120"/>
      <c r="K34" s="121" t="str">
        <f t="array" ref="K34">IFERROR(INDEX('Log Diário'!$I$2:$I$156,SMALL(IF(('Log Diário'!$B$2:$B$156="Marcos Antonio")*('Log Diário'!$A$2:$A$156=Painel!$B$4),ROW('Log Diário'!$A$2:$A$156)-1,""),5)),"")</f>
        <v/>
      </c>
      <c r="L34" s="121"/>
      <c r="M34" s="120" t="str">
        <f t="array" ref="M34">IFERROR(INDEX('Log Diário'!$K$2:$K$156,SMALL(IF(('Log Diário'!$B$2:$B$156="Marcos Antonio")*('Log Diário'!$A$2:$A$156=Painel!$B$4),ROW('Log Diário'!$A$2:$A$156)-1,""),5)),"")&amp;""</f>
        <v/>
      </c>
      <c r="N34" s="120"/>
      <c r="O34" s="120"/>
      <c r="P34" s="120"/>
      <c r="Q34" s="120"/>
      <c r="R34" s="120"/>
      <c r="S34" s="77"/>
    </row>
    <row r="35" spans="1:19" ht="3" customHeight="1" x14ac:dyDescent="0.25">
      <c r="A35" s="77"/>
      <c r="B35" s="77"/>
      <c r="C35" s="77" t="str">
        <f t="array" ref="C35">IFERROR(INDEX('Log Diário'!$C$2:$C$156,SMALL(IF(('Log Diário'!$B$2:$B$156="Marcos Antonio")*('Log Diário'!$A$2:$A$156=Painel!$B$4),ROW('Log Diário'!$A$2:$A$156)-1,""),6)),"")</f>
        <v/>
      </c>
      <c r="D35" s="77" t="str">
        <f t="array" ref="D35">IFERROR(INDEX('Log Diário'!$D$2:$D$156,SMALL(IF(('Log Diário'!$B$2:$B$156="Marcos Antonio")*('Log Diário'!$A$2:$A$156=Painel!$B$4),ROW('Log Diário'!$A$2:$A$156)-1,""),6)),"")</f>
        <v/>
      </c>
      <c r="E35" s="77" t="str">
        <f t="array" ref="E35">IFERROR(INDEX('Log Diário'!$E$2:$E$156,SMALL(IF(('Log Diário'!$B$2:$B$156="Marcos Antonio")*('Log Diário'!$A$2:$A$156=Painel!$B$4),ROW('Log Diário'!$A$2:$A$156)-1,""),6)),"")</f>
        <v/>
      </c>
      <c r="F35" s="120" t="str">
        <f t="array" ref="F35">IFERROR(INDEX('Log Diário'!$F$2:$F$156,SMALL(IF(('Log Diário'!$B$2:$B$156="Marcos Antonio")*('Log Diário'!$A$2:$A$156=Painel!$B$4),ROW('Log Diário'!$A$2:$A$156)-1,""),6)),"")</f>
        <v/>
      </c>
      <c r="G35" s="120"/>
      <c r="H35" s="120"/>
      <c r="I35" s="120"/>
      <c r="J35" s="120"/>
      <c r="K35" s="121" t="str">
        <f t="array" ref="K35">IFERROR(INDEX('Log Diário'!$I$2:$I$156,SMALL(IF(('Log Diário'!$B$2:$B$156="Marcos Antonio")*('Log Diário'!$A$2:$A$156=Painel!$B$4),ROW('Log Diário'!$A$2:$A$156)-1,""),6)),"")</f>
        <v/>
      </c>
      <c r="L35" s="121"/>
      <c r="M35" s="120" t="str">
        <f t="array" ref="M35">IFERROR(INDEX('Log Diário'!$K$2:$K$156,SMALL(IF(('Log Diário'!$B$2:$B$156="Marcos Antonio")*('Log Diário'!$A$2:$A$156=Painel!$B$4),ROW('Log Diário'!$A$2:$A$156)-1,""),6)),"")&amp;""</f>
        <v/>
      </c>
      <c r="N35" s="120"/>
      <c r="O35" s="120"/>
      <c r="P35" s="120"/>
      <c r="Q35" s="120"/>
      <c r="R35" s="120"/>
      <c r="S35" s="77"/>
    </row>
    <row r="36" spans="1:19" ht="3" customHeight="1" x14ac:dyDescent="0.25">
      <c r="A36" s="77"/>
      <c r="B36" s="77"/>
      <c r="C36" s="77" t="str">
        <f t="array" ref="C36">IFERROR(INDEX('Log Diário'!$C$2:$C$156,SMALL(IF(('Log Diário'!$B$2:$B$156="Marcos Antonio")*('Log Diário'!$A$2:$A$156=Painel!$B$4),ROW('Log Diário'!$A$2:$A$156)-1,""),7)),"")</f>
        <v/>
      </c>
      <c r="D36" s="77" t="str">
        <f t="array" ref="D36">IFERROR(INDEX('Log Diário'!$D$2:$D$156,SMALL(IF(('Log Diário'!$B$2:$B$156="Marcos Antonio")*('Log Diário'!$A$2:$A$156=Painel!$B$4),ROW('Log Diário'!$A$2:$A$156)-1,""),7)),"")</f>
        <v/>
      </c>
      <c r="E36" s="77" t="str">
        <f t="array" ref="E36">IFERROR(INDEX('Log Diário'!$E$2:$E$156,SMALL(IF(('Log Diário'!$B$2:$B$156="Marcos Antonio")*('Log Diário'!$A$2:$A$156=Painel!$B$4),ROW('Log Diário'!$A$2:$A$156)-1,""),7)),"")</f>
        <v/>
      </c>
      <c r="F36" s="120" t="str">
        <f t="array" ref="F36">IFERROR(INDEX('Log Diário'!$F$2:$F$156,SMALL(IF(('Log Diário'!$B$2:$B$156="Marcos Antonio")*('Log Diário'!$A$2:$A$156=Painel!$B$4),ROW('Log Diário'!$A$2:$A$156)-1,""),7)),"")</f>
        <v/>
      </c>
      <c r="G36" s="120"/>
      <c r="H36" s="120"/>
      <c r="I36" s="120"/>
      <c r="J36" s="120"/>
      <c r="K36" s="121" t="str">
        <f t="array" ref="K36">IFERROR(INDEX('Log Diário'!$I$2:$I$156,SMALL(IF(('Log Diário'!$B$2:$B$156="Marcos Antonio")*('Log Diário'!$A$2:$A$156=Painel!$B$4),ROW('Log Diário'!$A$2:$A$156)-1,""),7)),"")</f>
        <v/>
      </c>
      <c r="L36" s="121"/>
      <c r="M36" s="120" t="str">
        <f t="array" ref="M36">IFERROR(INDEX('Log Diário'!$K$2:$K$156,SMALL(IF(('Log Diário'!$B$2:$B$156="Marcos Antonio")*('Log Diário'!$A$2:$A$156=Painel!$B$4),ROW('Log Diário'!$A$2:$A$156)-1,""),7)),"")&amp;""</f>
        <v/>
      </c>
      <c r="N36" s="120"/>
      <c r="O36" s="120"/>
      <c r="P36" s="120"/>
      <c r="Q36" s="120"/>
      <c r="R36" s="120"/>
      <c r="S36" s="77"/>
    </row>
    <row r="37" spans="1:19" ht="3" customHeight="1" x14ac:dyDescent="0.25">
      <c r="A37" s="77"/>
      <c r="B37" s="77"/>
      <c r="C37" s="77" t="str">
        <f t="array" ref="C37">IFERROR(INDEX('Log Diário'!$C$2:$C$156,SMALL(IF(('Log Diário'!$B$2:$B$156="Marcos Antonio")*('Log Diário'!$A$2:$A$156=Painel!$B$4),ROW('Log Diário'!$A$2:$A$156)-1,""),8)),"")</f>
        <v/>
      </c>
      <c r="D37" s="77" t="str">
        <f t="array" ref="D37">IFERROR(INDEX('Log Diário'!$D$2:$D$156,SMALL(IF(('Log Diário'!$B$2:$B$156="Marcos Antonio")*('Log Diário'!$A$2:$A$156=Painel!$B$4),ROW('Log Diário'!$A$2:$A$156)-1,""),8)),"")</f>
        <v/>
      </c>
      <c r="E37" s="77" t="str">
        <f t="array" ref="E37">IFERROR(INDEX('Log Diário'!$E$2:$E$156,SMALL(IF(('Log Diário'!$B$2:$B$156="Marcos Antonio")*('Log Diário'!$A$2:$A$156=Painel!$B$4),ROW('Log Diário'!$A$2:$A$156)-1,""),8)),"")</f>
        <v/>
      </c>
      <c r="F37" s="120" t="str">
        <f t="array" ref="F37">IFERROR(INDEX('Log Diário'!$F$2:$F$156,SMALL(IF(('Log Diário'!$B$2:$B$156="Marcos Antonio")*('Log Diário'!$A$2:$A$156=Painel!$B$4),ROW('Log Diário'!$A$2:$A$156)-1,""),8)),"")</f>
        <v/>
      </c>
      <c r="G37" s="120"/>
      <c r="H37" s="120"/>
      <c r="I37" s="120"/>
      <c r="J37" s="120"/>
      <c r="K37" s="121" t="str">
        <f t="array" ref="K37">IFERROR(INDEX('Log Diário'!$I$2:$I$156,SMALL(IF(('Log Diário'!$B$2:$B$156="Marcos Antonio")*('Log Diário'!$A$2:$A$156=Painel!$B$4),ROW('Log Diário'!$A$2:$A$156)-1,""),8)),"")</f>
        <v/>
      </c>
      <c r="L37" s="121"/>
      <c r="M37" s="120" t="str">
        <f t="array" ref="M37">IFERROR(INDEX('Log Diário'!$K$2:$K$156,SMALL(IF(('Log Diário'!$B$2:$B$156="Marcos Antonio")*('Log Diário'!$A$2:$A$156=Painel!$B$4),ROW('Log Diário'!$A$2:$A$156)-1,""),8)),"")&amp;""</f>
        <v/>
      </c>
      <c r="N37" s="120"/>
      <c r="O37" s="120"/>
      <c r="P37" s="120"/>
      <c r="Q37" s="120"/>
      <c r="R37" s="120"/>
      <c r="S37" s="77"/>
    </row>
    <row r="38" spans="1:19" ht="3" customHeight="1" x14ac:dyDescent="0.25">
      <c r="A38" s="77"/>
      <c r="B38" s="77"/>
      <c r="C38" s="77" t="str">
        <f t="array" ref="C38">IFERROR(INDEX('Log Diário'!$C$2:$C$156,SMALL(IF(('Log Diário'!$B$2:$B$156="Marcos Antonio")*('Log Diário'!$A$2:$A$156=Painel!$B$4),ROW('Log Diário'!$A$2:$A$156)-1,""),9)),"")</f>
        <v/>
      </c>
      <c r="D38" s="77" t="str">
        <f t="array" ref="D38">IFERROR(INDEX('Log Diário'!$D$2:$D$156,SMALL(IF(('Log Diário'!$B$2:$B$156="Marcos Antonio")*('Log Diário'!$A$2:$A$156=Painel!$B$4),ROW('Log Diário'!$A$2:$A$156)-1,""),9)),"")</f>
        <v/>
      </c>
      <c r="E38" s="77" t="str">
        <f t="array" ref="E38">IFERROR(INDEX('Log Diário'!$E$2:$E$156,SMALL(IF(('Log Diário'!$B$2:$B$156="Marcos Antonio")*('Log Diário'!$A$2:$A$156=Painel!$B$4),ROW('Log Diário'!$A$2:$A$156)-1,""),9)),"")</f>
        <v/>
      </c>
      <c r="F38" s="120" t="str">
        <f t="array" ref="F38">IFERROR(INDEX('Log Diário'!$F$2:$F$156,SMALL(IF(('Log Diário'!$B$2:$B$156="Marcos Antonio")*('Log Diário'!$A$2:$A$156=Painel!$B$4),ROW('Log Diário'!$A$2:$A$156)-1,""),9)),"")</f>
        <v/>
      </c>
      <c r="G38" s="120"/>
      <c r="H38" s="120"/>
      <c r="I38" s="120"/>
      <c r="J38" s="120"/>
      <c r="K38" s="121" t="str">
        <f t="array" ref="K38">IFERROR(INDEX('Log Diário'!$I$2:$I$156,SMALL(IF(('Log Diário'!$B$2:$B$156="Marcos Antonio")*('Log Diário'!$A$2:$A$156=Painel!$B$4),ROW('Log Diário'!$A$2:$A$156)-1,""),9)),"")</f>
        <v/>
      </c>
      <c r="L38" s="121"/>
      <c r="M38" s="120" t="str">
        <f t="array" ref="M38">IFERROR(INDEX('Log Diário'!$K$2:$K$156,SMALL(IF(('Log Diário'!$B$2:$B$156="Marcos Antonio")*('Log Diário'!$A$2:$A$156=Painel!$B$4),ROW('Log Diário'!$A$2:$A$156)-1,""),9)),"")&amp;""</f>
        <v/>
      </c>
      <c r="N38" s="120"/>
      <c r="O38" s="120"/>
      <c r="P38" s="120"/>
      <c r="Q38" s="120"/>
      <c r="R38" s="120"/>
      <c r="S38" s="77"/>
    </row>
    <row r="39" spans="1:19" ht="3" customHeight="1" x14ac:dyDescent="0.25">
      <c r="A39" s="77"/>
      <c r="B39" s="77"/>
      <c r="C39" s="77" t="str">
        <f t="array" ref="C39">IFERROR(INDEX('Log Diário'!$C$2:$C$156,SMALL(IF(('Log Diário'!$B$2:$B$156="Marcos Antonio")*('Log Diário'!$A$2:$A$156=Painel!$B$4),ROW('Log Diário'!$A$2:$A$156)-1,""),10)),"")</f>
        <v/>
      </c>
      <c r="D39" s="77" t="str">
        <f t="array" ref="D39">IFERROR(INDEX('Log Diário'!$D$2:$D$156,SMALL(IF(('Log Diário'!$B$2:$B$156="Marcos Antonio")*('Log Diário'!$A$2:$A$156=Painel!$B$4),ROW('Log Diário'!$A$2:$A$156)-1,""),10)),"")</f>
        <v/>
      </c>
      <c r="E39" s="77" t="str">
        <f t="array" ref="E39">IFERROR(INDEX('Log Diário'!$E$2:$E$156,SMALL(IF(('Log Diário'!$B$2:$B$156="Marcos Antonio")*('Log Diário'!$A$2:$A$156=Painel!$B$4),ROW('Log Diário'!$A$2:$A$156)-1,""),10)),"")</f>
        <v/>
      </c>
      <c r="F39" s="120" t="str">
        <f t="array" ref="F39">IFERROR(INDEX('Log Diário'!$F$2:$F$156,SMALL(IF(('Log Diário'!$B$2:$B$156="Marcos Antonio")*('Log Diário'!$A$2:$A$156=Painel!$B$4),ROW('Log Diário'!$A$2:$A$156)-1,""),10)),"")</f>
        <v/>
      </c>
      <c r="G39" s="120"/>
      <c r="H39" s="120"/>
      <c r="I39" s="120"/>
      <c r="J39" s="120"/>
      <c r="K39" s="121" t="str">
        <f t="array" ref="K39">IFERROR(INDEX('Log Diário'!$I$2:$I$156,SMALL(IF(('Log Diário'!$B$2:$B$156="Marcos Antonio")*('Log Diário'!$A$2:$A$156=Painel!$B$4),ROW('Log Diário'!$A$2:$A$156)-1,""),10)),"")</f>
        <v/>
      </c>
      <c r="L39" s="121"/>
      <c r="M39" s="120" t="str">
        <f t="array" ref="M39">IFERROR(INDEX('Log Diário'!$K$2:$K$156,SMALL(IF(('Log Diário'!$B$2:$B$156="Marcos Antonio")*('Log Diário'!$A$2:$A$156=Painel!$B$4),ROW('Log Diário'!$A$2:$A$156)-1,""),10)),"")&amp;""</f>
        <v/>
      </c>
      <c r="N39" s="120"/>
      <c r="O39" s="120"/>
      <c r="P39" s="120"/>
      <c r="Q39" s="120"/>
      <c r="R39" s="120"/>
      <c r="S39" s="77"/>
    </row>
    <row r="41" spans="1:19" ht="21.75" customHeight="1" x14ac:dyDescent="0.25">
      <c r="C41" s="122" t="str">
        <f>IF(COUNTIFS('Log Diário'!$B$2:$B$699,"Marcos Antonio",'Log Diário'!$A$2:$A$699,Painel!$B$4)=0,"⚠ Nenhuma atividade registrada para "&amp;TEXT(Painel!$B$4,"DD/MM/YYYY")&amp;" — relatório diário pendente","")</f>
        <v/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</row>
    <row r="42" spans="1:19" ht="15" customHeight="1" x14ac:dyDescent="0.25">
      <c r="C42" s="123" t="s">
        <v>503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</row>
    <row r="199" spans="3:4" ht="15" customHeight="1" x14ac:dyDescent="0.25">
      <c r="C199" s="78" t="s">
        <v>504</v>
      </c>
      <c r="D199" s="78" t="s">
        <v>505</v>
      </c>
    </row>
    <row r="200" spans="3:4" ht="15" customHeight="1" x14ac:dyDescent="0.25">
      <c r="C200" s="79" t="str">
        <f>IF(D200=0,"","Não iniciado")</f>
        <v/>
      </c>
      <c r="D200" s="79">
        <f>COUNTIFS('Log Diário'!$B$2:$B$699,"Marcos Antonio",'Log Diário'!$A$2:$A$699,Painel!$B$4,'Log Diário'!$I$2:$I$699,"Não iniciado")</f>
        <v>0</v>
      </c>
    </row>
    <row r="201" spans="3:4" ht="15" customHeight="1" x14ac:dyDescent="0.25">
      <c r="C201" s="79" t="str">
        <f>IF(D201=0,"","Em andamento")</f>
        <v>Em andamento</v>
      </c>
      <c r="D201" s="79">
        <f>COUNTIFS('Log Diário'!$B$2:$B$699,"Marcos Antonio",'Log Diário'!$A$2:$A$699,Painel!$B$4,'Log Diário'!$I$2:$I$699,"Em andamento")</f>
        <v>1</v>
      </c>
    </row>
    <row r="202" spans="3:4" ht="15" customHeight="1" x14ac:dyDescent="0.25">
      <c r="C202" s="79" t="str">
        <f>IF(D202=0,"","Acompanhamento")</f>
        <v/>
      </c>
      <c r="D202" s="79">
        <f>COUNTIFS('Log Diário'!$B$2:$B$699,"Marcos Antonio",'Log Diário'!$A$2:$A$699,Painel!$B$4,'Log Diário'!$I$2:$I$699,"Acompanhamento")</f>
        <v>0</v>
      </c>
    </row>
    <row r="203" spans="3:4" ht="15" customHeight="1" x14ac:dyDescent="0.25">
      <c r="C203" s="79" t="str">
        <f>IF(D203=0,"","Inspecionado OK")</f>
        <v/>
      </c>
      <c r="D203" s="79">
        <f>COUNTIFS('Log Diário'!$B$2:$B$699,"Marcos Antonio",'Log Diário'!$A$2:$A$699,Painel!$B$4,'Log Diário'!$I$2:$I$699,"Inspecionado OK")</f>
        <v>0</v>
      </c>
    </row>
    <row r="204" spans="3:4" ht="15" customHeight="1" x14ac:dyDescent="0.25">
      <c r="C204" s="79" t="str">
        <f>IF(D204=0,"","Pendência")</f>
        <v/>
      </c>
      <c r="D204" s="79">
        <f>COUNTIFS('Log Diário'!$B$2:$B$699,"Marcos Antonio",'Log Diário'!$A$2:$A$699,Painel!$B$4,'Log Diário'!$I$2:$I$699,"Pendência")</f>
        <v>0</v>
      </c>
    </row>
    <row r="205" spans="3:4" ht="15" customHeight="1" x14ac:dyDescent="0.25">
      <c r="C205" s="79" t="str">
        <f>IF(D205=0,"","Reprovado")</f>
        <v/>
      </c>
      <c r="D205" s="79">
        <f>COUNTIFS('Log Diário'!$B$2:$B$699,"Marcos Antonio",'Log Diário'!$A$2:$A$699,Painel!$B$4,'Log Diário'!$I$2:$I$699,"Reprovado")</f>
        <v>0</v>
      </c>
    </row>
  </sheetData>
  <mergeCells count="52">
    <mergeCell ref="F39:J39"/>
    <mergeCell ref="K39:L39"/>
    <mergeCell ref="M39:R39"/>
    <mergeCell ref="C41:N41"/>
    <mergeCell ref="C42:N42"/>
    <mergeCell ref="F37:J37"/>
    <mergeCell ref="K37:L37"/>
    <mergeCell ref="M37:R37"/>
    <mergeCell ref="F38:J38"/>
    <mergeCell ref="K38:L38"/>
    <mergeCell ref="M38:R38"/>
    <mergeCell ref="F35:J35"/>
    <mergeCell ref="K35:L35"/>
    <mergeCell ref="M35:R35"/>
    <mergeCell ref="F36:J36"/>
    <mergeCell ref="K36:L36"/>
    <mergeCell ref="M36:R36"/>
    <mergeCell ref="F33:J33"/>
    <mergeCell ref="K33:L33"/>
    <mergeCell ref="M33:R33"/>
    <mergeCell ref="F34:J34"/>
    <mergeCell ref="K34:L34"/>
    <mergeCell ref="M34:R34"/>
    <mergeCell ref="F31:J31"/>
    <mergeCell ref="K31:L31"/>
    <mergeCell ref="M31:R31"/>
    <mergeCell ref="F32:J32"/>
    <mergeCell ref="K32:L32"/>
    <mergeCell ref="M32:R32"/>
    <mergeCell ref="F29:J29"/>
    <mergeCell ref="K29:L29"/>
    <mergeCell ref="M29:R29"/>
    <mergeCell ref="F30:J30"/>
    <mergeCell ref="K30:L30"/>
    <mergeCell ref="M30:R30"/>
    <mergeCell ref="H12:N12"/>
    <mergeCell ref="H13:N14"/>
    <mergeCell ref="H15:N15"/>
    <mergeCell ref="H16:N17"/>
    <mergeCell ref="C28:N28"/>
    <mergeCell ref="C6:F8"/>
    <mergeCell ref="G6:J8"/>
    <mergeCell ref="K6:N8"/>
    <mergeCell ref="C9:N9"/>
    <mergeCell ref="C10:N10"/>
    <mergeCell ref="C1:N1"/>
    <mergeCell ref="C2:N2"/>
    <mergeCell ref="C3:L3"/>
    <mergeCell ref="M3:N3"/>
    <mergeCell ref="C5:F5"/>
    <mergeCell ref="G5:J5"/>
    <mergeCell ref="K5:N5"/>
  </mergeCells>
  <conditionalFormatting sqref="A30:R39">
    <cfRule type="expression" dxfId="89" priority="36">
      <formula>$C30=""</formula>
    </cfRule>
  </conditionalFormatting>
  <conditionalFormatting sqref="K30:L39">
    <cfRule type="cellIs" dxfId="88" priority="2" operator="equal">
      <formula>"Não iniciado"</formula>
    </cfRule>
    <cfRule type="cellIs" dxfId="87" priority="3" operator="equal">
      <formula>"Em andamento"</formula>
    </cfRule>
    <cfRule type="cellIs" dxfId="86" priority="4" operator="equal">
      <formula>"Acompanhamento"</formula>
    </cfRule>
    <cfRule type="cellIs" dxfId="85" priority="5" operator="equal">
      <formula>"Inspecionado OK"</formula>
    </cfRule>
    <cfRule type="cellIs" dxfId="84" priority="6" operator="equal">
      <formula>"Pendência"</formula>
    </cfRule>
    <cfRule type="cellIs" dxfId="83" priority="7" operator="equal">
      <formula>"Reprovado"</formula>
    </cfRule>
    <cfRule type="cellIs" dxfId="82" priority="16" operator="equal">
      <formula>"Reprovado parcial"</formula>
    </cfRule>
    <cfRule type="cellIs" dxfId="81" priority="17" operator="equal">
      <formula>"Recebido"</formula>
    </cfRule>
    <cfRule type="cellIs" dxfId="80" priority="18" operator="equal">
      <formula>"Recebido parcial"</formula>
    </cfRule>
    <cfRule type="cellIs" dxfId="79" priority="11" operator="equal">
      <formula>"Finalizado"</formula>
    </cfRule>
    <cfRule type="cellIs" dxfId="78" priority="12" operator="equal">
      <formula>"Aprovado"</formula>
    </cfRule>
    <cfRule type="cellIs" dxfId="77" priority="19" operator="equal">
      <formula>"Inspecionado"</formula>
    </cfRule>
    <cfRule type="cellIs" dxfId="76" priority="15" operator="equal">
      <formula>"Não finalizado"</formula>
    </cfRule>
  </conditionalFormatting>
  <conditionalFormatting sqref="M30:R39">
    <cfRule type="expression" dxfId="75" priority="20">
      <formula>NOT(ISERROR(SEARCH("CHECK-IN",M30)))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205"/>
  <sheetViews>
    <sheetView showGridLines="0" zoomScaleNormal="100" workbookViewId="0"/>
  </sheetViews>
  <sheetFormatPr defaultColWidth="8.7109375" defaultRowHeight="15" x14ac:dyDescent="0.25"/>
  <cols>
    <col min="1" max="2" width="3" customWidth="1"/>
    <col min="3" max="14" width="11" customWidth="1"/>
    <col min="15" max="18" width="14" customWidth="1"/>
  </cols>
  <sheetData>
    <row r="1" spans="3:14" ht="36" customHeight="1" x14ac:dyDescent="0.25">
      <c r="C1" s="131" t="s">
        <v>508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</row>
    <row r="2" spans="3:14" ht="21.75" customHeight="1" x14ac:dyDescent="0.25">
      <c r="C2" s="106" t="s">
        <v>509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3:14" ht="21.75" customHeight="1" x14ac:dyDescent="0.25">
      <c r="C3" s="107" t="s">
        <v>497</v>
      </c>
      <c r="D3" s="107"/>
      <c r="E3" s="107"/>
      <c r="F3" s="107"/>
      <c r="G3" s="107"/>
      <c r="H3" s="107"/>
      <c r="I3" s="107"/>
      <c r="J3" s="107"/>
      <c r="K3" s="107"/>
      <c r="L3" s="107"/>
      <c r="M3" s="108">
        <f>Painel!$B$4</f>
        <v>46203</v>
      </c>
      <c r="N3" s="108"/>
    </row>
    <row r="4" spans="3:14" ht="6" customHeight="1" x14ac:dyDescent="0.25"/>
    <row r="5" spans="3:14" ht="19.5" customHeight="1" x14ac:dyDescent="0.25">
      <c r="C5" s="132" t="s">
        <v>8</v>
      </c>
      <c r="D5" s="132"/>
      <c r="E5" s="132"/>
      <c r="F5" s="132"/>
      <c r="G5" s="109" t="s">
        <v>498</v>
      </c>
      <c r="H5" s="109"/>
      <c r="I5" s="109"/>
      <c r="J5" s="109"/>
      <c r="K5" s="110" t="s">
        <v>499</v>
      </c>
      <c r="L5" s="110"/>
      <c r="M5" s="110"/>
      <c r="N5" s="110"/>
    </row>
    <row r="6" spans="3:14" ht="18" customHeight="1" x14ac:dyDescent="0.25">
      <c r="C6" s="133">
        <f>COUNTIFS('Log Diário'!$B$2:$B$699,"Rafael Vieira",'Log Diário'!$A$2:$A$699,Painel!$B$4)</f>
        <v>1</v>
      </c>
      <c r="D6" s="133"/>
      <c r="E6" s="133"/>
      <c r="F6" s="133"/>
      <c r="G6" s="111">
        <f>COUNTIFS('Log Diário'!$B$2:$B$699,"Rafael Vieira",'Log Diário'!$A$2:$A$699,Painel!$B$4,'Log Diário'!$I$2:$I$699,"Em andamento")+COUNTIFS('Log Diário'!$B$2:$B$699,"Rafael Vieira",'Log Diário'!$A$2:$A$699,Painel!$B$4,'Log Diário'!$I$2:$I$699,"Acompanhamento")</f>
        <v>0</v>
      </c>
      <c r="H6" s="111"/>
      <c r="I6" s="111"/>
      <c r="J6" s="111"/>
      <c r="K6" s="112">
        <f>COUNTIFS('Log Diário'!$B$2:$B$699,"Rafael Vieira",'Log Diário'!$A$2:$A$699,Painel!$B$4,'Log Diário'!$I$2:$I$699,"Pendência")+COUNTIFS('Log Diário'!$B$2:$B$699,"Rafael Vieira",'Log Diário'!$A$2:$A$699,Painel!$B$4,'Log Diário'!$I$2:$I$699,"Reprovado")</f>
        <v>0</v>
      </c>
      <c r="L6" s="112"/>
      <c r="M6" s="112"/>
      <c r="N6" s="112"/>
    </row>
    <row r="7" spans="3:14" ht="18" customHeight="1" x14ac:dyDescent="0.25">
      <c r="C7" s="133"/>
      <c r="D7" s="133"/>
      <c r="E7" s="133"/>
      <c r="F7" s="133"/>
      <c r="G7" s="111"/>
      <c r="H7" s="111"/>
      <c r="I7" s="111"/>
      <c r="J7" s="111"/>
      <c r="K7" s="112"/>
      <c r="L7" s="112"/>
      <c r="M7" s="112"/>
      <c r="N7" s="112"/>
    </row>
    <row r="8" spans="3:14" ht="18" customHeight="1" x14ac:dyDescent="0.25">
      <c r="C8" s="133"/>
      <c r="D8" s="133"/>
      <c r="E8" s="133"/>
      <c r="F8" s="133"/>
      <c r="G8" s="111"/>
      <c r="H8" s="111"/>
      <c r="I8" s="111"/>
      <c r="J8" s="111"/>
      <c r="K8" s="112"/>
      <c r="L8" s="112"/>
      <c r="M8" s="112"/>
      <c r="N8" s="112"/>
    </row>
    <row r="9" spans="3:14" ht="6" customHeight="1" x14ac:dyDescent="0.25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3:14" ht="19.5" customHeight="1" x14ac:dyDescent="0.25">
      <c r="C10" s="114" t="str">
        <f>"📈 Total de atividades registradas em "&amp;INDEX({"janeiro";"fevereiro";"março";"abril";"maio";"junho";"julho";"agosto";"setembro";"outubro";"novembro";"dezembro"},MONTH(Painel!$B$4))&amp;"/"&amp;YEAR(Painel!$B$4)&amp;": "&amp;COUNTIFS('Log Diário'!$B$2:$B$699,"Rafael Vieira",'Log Diário'!$A$2:$A$699,"&gt;"&amp;DATE(YEAR(Painel!$B$4),MONTH(Painel!$B$4),1),'Log Diário'!$A$2:$A$699,"&lt;"&amp;DATE(YEAR(Painel!$B$4),MONTH(Painel!$B$4)+1,1))&amp;" atividades"</f>
        <v>📈 Total de atividades registradas em junho/2026: 15 atividades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3:14" ht="7.5" customHeight="1" x14ac:dyDescent="0.25"/>
    <row r="12" spans="3:14" ht="19.5" customHeight="1" x14ac:dyDescent="0.25">
      <c r="H12" s="115" t="s">
        <v>500</v>
      </c>
      <c r="I12" s="115"/>
      <c r="J12" s="115"/>
      <c r="K12" s="115"/>
      <c r="L12" s="115"/>
      <c r="M12" s="115"/>
      <c r="N12" s="115"/>
    </row>
    <row r="13" spans="3:14" ht="15" customHeight="1" x14ac:dyDescent="0.25">
      <c r="H13" s="134" t="str">
        <f>TRIM(IF(COUNTIFS('Log Diário'!$B$2:$B$699,"Rafael Vieira",'Log Diário'!$A$2:$A$699,Painel!$B$4,'Log Diário'!$C$2:$C$699,"ELE")&gt;0,"ELE  ","")&amp;IF(COUNTIFS('Log Diário'!$B$2:$B$699,"Rafael Vieira",'Log Diário'!$A$2:$A$699,Painel!$B$4,'Log Diário'!$C$2:$C$699,"TUB")&gt;0,"TUB  ","")&amp;IF(COUNTIFS('Log Diário'!$B$2:$B$699,"Rafael Vieira",'Log Diário'!$A$2:$A$699,Painel!$B$4,'Log Diário'!$C$2:$C$699,"MEC")&gt;0,"MEC  ","")&amp;IF(COUNTIFS('Log Diário'!$B$2:$B$699,"Rafael Vieira",'Log Diário'!$A$2:$A$699,Painel!$B$4,'Log Diário'!$C$2:$C$699,"SOLDA")&gt;0,"SOLDA  ","")&amp;IF(COUNTIFS('Log Diário'!$B$2:$B$699,"Rafael Vieira",'Log Diário'!$A$2:$A$699,Painel!$B$4,'Log Diário'!$C$2:$C$699,"AND")&gt;0,"AND  ","")&amp;IF(COUNTIFS('Log Diário'!$B$2:$B$699,"Rafael Vieira",'Log Diário'!$A$2:$A$699,Painel!$B$4,'Log Diário'!$C$2:$C$699,"ADM")&gt;0,"ADM  ",""))</f>
        <v>MEC</v>
      </c>
      <c r="I13" s="134"/>
      <c r="J13" s="134"/>
      <c r="K13" s="134"/>
      <c r="L13" s="134"/>
      <c r="M13" s="134"/>
      <c r="N13" s="134"/>
    </row>
    <row r="14" spans="3:14" ht="15" customHeight="1" x14ac:dyDescent="0.25">
      <c r="H14" s="134"/>
      <c r="I14" s="134"/>
      <c r="J14" s="134"/>
      <c r="K14" s="134"/>
      <c r="L14" s="134"/>
      <c r="M14" s="134"/>
      <c r="N14" s="134"/>
    </row>
    <row r="15" spans="3:14" ht="19.5" customHeight="1" x14ac:dyDescent="0.25">
      <c r="H15" s="115" t="s">
        <v>501</v>
      </c>
      <c r="I15" s="115"/>
      <c r="J15" s="115"/>
      <c r="K15" s="115"/>
      <c r="L15" s="115"/>
      <c r="M15" s="115"/>
      <c r="N15" s="115"/>
    </row>
    <row r="16" spans="3:14" ht="15" customHeight="1" x14ac:dyDescent="0.25">
      <c r="H16" s="135" t="str">
        <f t="array" ref="H16">IF(RIGHT(IFERROR(INDEX('Log Diário'!$D$2:$D$699,SMALL(IF(('Log Diário'!$B$2:$B$699="Rafael Vieira")*('Log Diário'!$A$2:$A$699=Painel!$B$4),ROW('Log Diário'!$A$2:$A$699)-1,""),1))&amp;"   |   ","")&amp;IFERROR(INDEX('Log Diário'!$D$2:$D$699,SMALL(IF(('Log Diário'!$B$2:$B$699="Rafael Vieira")*('Log Diário'!$A$2:$A$699=Painel!$B$4),ROW('Log Diário'!$A$2:$A$699)-1,""),2))&amp;"   |   ","")&amp;IFERROR(INDEX('Log Diário'!$D$2:$D$699,SMALL(IF(('Log Diário'!$B$2:$B$699="Rafael Vieira")*('Log Diário'!$A$2:$A$699=Painel!$B$4),ROW('Log Diário'!$A$2:$A$699)-1,""),3))&amp;"   |   ","")&amp;IFERROR(INDEX('Log Diário'!$D$2:$D$699,SMALL(IF(('Log Diário'!$B$2:$B$699="Rafael Vieira")*('Log Diário'!$A$2:$A$699=Painel!$B$4),ROW('Log Diário'!$A$2:$A$699)-1,""),4))&amp;"   |   ","")&amp;IFERROR(INDEX('Log Diário'!$D$2:$D$699,SMALL(IF(('Log Diário'!$B$2:$B$699="Rafael Vieira")*('Log Diário'!$A$2:$A$699=Painel!$B$4),ROW('Log Diário'!$A$2:$A$699)-1,""),5))&amp;"   |   ","")&amp;IFERROR(INDEX('Log Diário'!$D$2:$D$699,SMALL(IF(('Log Diário'!$B$2:$B$699="Rafael Vieira")*('Log Diário'!$A$2:$A$699=Painel!$B$4),ROW('Log Diário'!$A$2:$A$699)-1,""),6))&amp;"   |   ",""),7)="   |   ",LEFT(IFERROR(INDEX('Log Diário'!$D$2:$D$699,SMALL(IF(('Log Diário'!$B$2:$B$699="Rafael Vieira")*('Log Diário'!$A$2:$A$699=Painel!$B$4),ROW('Log Diário'!$A$2:$A$699)-1,""),1))&amp;"   |   ","")&amp;IFERROR(INDEX('Log Diário'!$D$2:$D$699,SMALL(IF(('Log Diário'!$B$2:$B$699="Rafael Vieira")*('Log Diário'!$A$2:$A$699=Painel!$B$4),ROW('Log Diário'!$A$2:$A$699)-1,""),2))&amp;"   |   ","")&amp;IFERROR(INDEX('Log Diário'!$D$2:$D$699,SMALL(IF(('Log Diário'!$B$2:$B$699="Rafael Vieira")*('Log Diário'!$A$2:$A$699=Painel!$B$4),ROW('Log Diário'!$A$2:$A$699)-1,""),3))&amp;"   |   ","")&amp;IFERROR(INDEX('Log Diário'!$D$2:$D$699,SMALL(IF(('Log Diário'!$B$2:$B$699="Rafael Vieira")*('Log Diário'!$A$2:$A$699=Painel!$B$4),ROW('Log Diário'!$A$2:$A$699)-1,""),4))&amp;"   |   ","")&amp;IFERROR(INDEX('Log Diário'!$D$2:$D$699,SMALL(IF(('Log Diário'!$B$2:$B$699="Rafael Vieira")*('Log Diário'!$A$2:$A$699=Painel!$B$4),ROW('Log Diário'!$A$2:$A$699)-1,""),5))&amp;"   |   ","")&amp;IFERROR(INDEX('Log Diário'!$D$2:$D$699,SMALL(IF(('Log Diário'!$B$2:$B$699="Rafael Vieira")*('Log Diário'!$A$2:$A$699=Painel!$B$4),ROW('Log Diário'!$A$2:$A$699)-1,""),6))&amp;"   |   ",""),LEN(IFERROR(INDEX('Log Diário'!$D$2:$D$699,SMALL(IF(('Log Diário'!$B$2:$B$699="Rafael Vieira")*('Log Diário'!$A$2:$A$699=Painel!$B$4),ROW('Log Diário'!$A$2:$A$699)-1,""),1))&amp;"   |   ","")&amp;IFERROR(INDEX('Log Diário'!$D$2:$D$699,SMALL(IF(('Log Diário'!$B$2:$B$699="Rafael Vieira")*('Log Diário'!$A$2:$A$699=Painel!$B$4),ROW('Log Diário'!$A$2:$A$699)-1,""),2))&amp;"   |   ","")&amp;IFERROR(INDEX('Log Diário'!$D$2:$D$699,SMALL(IF(('Log Diário'!$B$2:$B$699="Rafael Vieira")*('Log Diário'!$A$2:$A$699=Painel!$B$4),ROW('Log Diário'!$A$2:$A$699)-1,""),3))&amp;"   |   ","")&amp;IFERROR(INDEX('Log Diário'!$D$2:$D$699,SMALL(IF(('Log Diário'!$B$2:$B$699="Rafael Vieira")*('Log Diário'!$A$2:$A$699=Painel!$B$4),ROW('Log Diário'!$A$2:$A$699)-1,""),4))&amp;"   |   ","")&amp;IFERROR(INDEX('Log Diário'!$D$2:$D$699,SMALL(IF(('Log Diário'!$B$2:$B$699="Rafael Vieira")*('Log Diário'!$A$2:$A$699=Painel!$B$4),ROW('Log Diário'!$A$2:$A$699)-1,""),5))&amp;"   |   ","")&amp;IFERROR(INDEX('Log Diário'!$D$2:$D$699,SMALL(IF(('Log Diário'!$B$2:$B$699="Rafael Vieira")*('Log Diário'!$A$2:$A$699=Painel!$B$4),ROW('Log Diário'!$A$2:$A$699)-1,""),6))&amp;"   |   ",""))-7),IFERROR(INDEX('Log Diário'!$D$2:$D$699,SMALL(IF(('Log Diário'!$B$2:$B$699="Rafael Vieira")*('Log Diário'!$A$2:$A$699=Painel!$B$4),ROW('Log Diário'!$A$2:$A$699)-1,""),1))&amp;"   |   ","")&amp;IFERROR(INDEX('Log Diário'!$D$2:$D$699,SMALL(IF(('Log Diário'!$B$2:$B$699="Rafael Vieira")*('Log Diário'!$A$2:$A$699=Painel!$B$4),ROW('Log Diário'!$A$2:$A$699)-1,""),2))&amp;"   |   ","")&amp;IFERROR(INDEX('Log Diário'!$D$2:$D$699,SMALL(IF(('Log Diário'!$B$2:$B$699="Rafael Vieira")*('Log Diário'!$A$2:$A$699=Painel!$B$4),ROW('Log Diário'!$A$2:$A$699)-1,""),3))&amp;"   |   ","")&amp;IFERROR(INDEX('Log Diário'!$D$2:$D$699,SMALL(IF(('Log Diário'!$B$2:$B$699="Rafael Vieira")*('Log Diário'!$A$2:$A$699=Painel!$B$4),ROW('Log Diário'!$A$2:$A$699)-1,""),4))&amp;"   |   ","")&amp;IFERROR(INDEX('Log Diário'!$D$2:$D$699,SMALL(IF(('Log Diário'!$B$2:$B$699="Rafael Vieira")*('Log Diário'!$A$2:$A$699=Painel!$B$4),ROW('Log Diário'!$A$2:$A$699)-1,""),5))&amp;"   |   ","")&amp;IFERROR(INDEX('Log Diário'!$D$2:$D$699,SMALL(IF(('Log Diário'!$B$2:$B$699="Rafael Vieira")*('Log Diário'!$A$2:$A$699=Painel!$B$4),ROW('Log Diário'!$A$2:$A$699)-1,""),6))&amp;"   |   ",""))</f>
        <v>CWA-14 / Prédio Sul (CF-09 e CF-11)</v>
      </c>
      <c r="I16" s="135"/>
      <c r="J16" s="135"/>
      <c r="K16" s="135"/>
      <c r="L16" s="135"/>
      <c r="M16" s="135"/>
      <c r="N16" s="135"/>
    </row>
    <row r="17" spans="1:19" ht="15" customHeight="1" x14ac:dyDescent="0.25">
      <c r="H17" s="135"/>
      <c r="I17" s="135"/>
      <c r="J17" s="135"/>
      <c r="K17" s="135"/>
      <c r="L17" s="135"/>
      <c r="M17" s="135"/>
      <c r="N17" s="135"/>
    </row>
    <row r="18" spans="1:19" ht="13.5" customHeight="1" x14ac:dyDescent="0.25"/>
    <row r="19" spans="1:19" ht="13.5" customHeight="1" x14ac:dyDescent="0.25"/>
    <row r="20" spans="1:19" ht="13.5" customHeight="1" x14ac:dyDescent="0.25"/>
    <row r="21" spans="1:19" ht="13.5" customHeight="1" x14ac:dyDescent="0.25"/>
    <row r="22" spans="1:19" ht="13.5" customHeight="1" x14ac:dyDescent="0.25"/>
    <row r="23" spans="1:19" ht="13.5" customHeight="1" x14ac:dyDescent="0.25"/>
    <row r="24" spans="1:19" ht="13.5" customHeight="1" x14ac:dyDescent="0.25"/>
    <row r="25" spans="1:19" ht="13.5" customHeight="1" x14ac:dyDescent="0.25"/>
    <row r="26" spans="1:19" ht="13.5" customHeight="1" x14ac:dyDescent="0.25"/>
    <row r="28" spans="1:19" ht="24" customHeight="1" x14ac:dyDescent="0.25">
      <c r="C28" s="86" t="str">
        <f>"🗓️ ATIVIDADES DE HOJE — "&amp;TEXT(Painel!$B$4,"DD/MM/YYYY")</f>
        <v>🗓️ ATIVIDADES DE HOJE — 30/06/YYYY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</row>
    <row r="29" spans="1:19" ht="19.5" customHeight="1" x14ac:dyDescent="0.25">
      <c r="C29" s="62" t="s">
        <v>20</v>
      </c>
      <c r="D29" s="62" t="s">
        <v>21</v>
      </c>
      <c r="E29" s="62" t="s">
        <v>22</v>
      </c>
      <c r="F29" s="118" t="s">
        <v>23</v>
      </c>
      <c r="G29" s="118"/>
      <c r="H29" s="118"/>
      <c r="I29" s="118"/>
      <c r="J29" s="118"/>
      <c r="K29" s="118" t="s">
        <v>24</v>
      </c>
      <c r="L29" s="118"/>
      <c r="M29" s="119" t="s">
        <v>502</v>
      </c>
      <c r="N29" s="119"/>
      <c r="O29" s="119"/>
      <c r="P29" s="119"/>
      <c r="Q29" s="119"/>
      <c r="R29" s="119"/>
    </row>
    <row r="30" spans="1:19" ht="27.75" customHeight="1" x14ac:dyDescent="0.25">
      <c r="A30" s="80"/>
      <c r="B30" s="80"/>
      <c r="C30" s="81" t="str">
        <f t="array" ref="C30">IFERROR(INDEX('Log Diário'!$C$2:$C$156,SMALL(IF(('Log Diário'!$B$2:$B$156="Rafael Vieira")*('Log Diário'!$A$2:$A$156=Painel!$B$4),ROW('Log Diário'!$A$2:$A$156)-1,""),1)),"")</f>
        <v>MEC</v>
      </c>
      <c r="D30" s="21" t="str">
        <f t="array" ref="D30">IFERROR(INDEX('Log Diário'!$D$2:$D$156,SMALL(IF(('Log Diário'!$B$2:$B$156="Rafael Vieira")*('Log Diário'!$A$2:$A$156=Painel!$B$4),ROW('Log Diário'!$A$2:$A$156)-1,""),1)),"")</f>
        <v>CWA-14 / Prédio Sul (CF-09 e CF-11)</v>
      </c>
      <c r="E30" s="21" t="str">
        <f t="array" ref="E30">IFERROR(INDEX('Log Diário'!$E$2:$E$156,SMALL(IF(('Log Diário'!$B$2:$B$156="Rafael Vieira")*('Log Diário'!$A$2:$A$156=Painel!$B$4),ROW('Log Diário'!$A$2:$A$156)-1,""),1)),"")</f>
        <v>Raimundo</v>
      </c>
      <c r="F30" s="97" t="str">
        <f t="array" ref="F30">IFERROR(INDEX('Log Diário'!$F$2:$F$156,SMALL(IF(('Log Diário'!$B$2:$B$156="Rafael Vieira")*('Log Diário'!$A$2:$A$156=Painel!$B$4),ROW('Log Diário'!$A$2:$A$156)-1,""),1)),"")</f>
        <v>Conferência de torque — Coluna de Flotação 09 e 11</v>
      </c>
      <c r="G30" s="97"/>
      <c r="H30" s="97"/>
      <c r="I30" s="97"/>
      <c r="J30" s="97"/>
      <c r="K30" s="129" t="str">
        <f t="array" ref="K30">IFERROR(INDEX('Log Diário'!$I$2:$I$156,SMALL(IF(('Log Diário'!$B$2:$B$156="Rafael Vieira")*('Log Diário'!$A$2:$A$156=Painel!$B$4),ROW('Log Diário'!$A$2:$A$156)-1,""),1)),"")</f>
        <v>Inspecionado</v>
      </c>
      <c r="L30" s="129"/>
      <c r="M30" s="130" t="str">
        <f t="array" ref="M30">IFERROR(INDEX('Log Diário'!$K$2:$K$156,SMALL(IF(('Log Diário'!$B$2:$B$156="Rafael Vieira")*('Log Diário'!$A$2:$A$156=Painel!$B$4),ROW('Log Diário'!$A$2:$A$156)-1,""),1)),"")&amp;""</f>
        <v/>
      </c>
      <c r="N30" s="130"/>
      <c r="O30" s="130"/>
      <c r="P30" s="130"/>
      <c r="Q30" s="130"/>
      <c r="R30" s="130"/>
      <c r="S30" s="21"/>
    </row>
    <row r="31" spans="1:19" ht="3" customHeight="1" x14ac:dyDescent="0.25">
      <c r="A31" s="77"/>
      <c r="B31" s="77"/>
      <c r="C31" s="77" t="str">
        <f t="array" ref="C31">IFERROR(INDEX('Log Diário'!$C$2:$C$156,SMALL(IF(('Log Diário'!$B$2:$B$156="Rafael Vieira")*('Log Diário'!$A$2:$A$156=Painel!$B$4),ROW('Log Diário'!$A$2:$A$156)-1,""),2)),"")</f>
        <v/>
      </c>
      <c r="D31" s="77" t="str">
        <f t="array" ref="D31">IFERROR(INDEX('Log Diário'!$D$2:$D$156,SMALL(IF(('Log Diário'!$B$2:$B$156="Rafael Vieira")*('Log Diário'!$A$2:$A$156=Painel!$B$4),ROW('Log Diário'!$A$2:$A$156)-1,""),2)),"")</f>
        <v/>
      </c>
      <c r="E31" s="77" t="str">
        <f t="array" ref="E31">IFERROR(INDEX('Log Diário'!$E$2:$E$156,SMALL(IF(('Log Diário'!$B$2:$B$156="Rafael Vieira")*('Log Diário'!$A$2:$A$156=Painel!$B$4),ROW('Log Diário'!$A$2:$A$156)-1,""),2)),"")</f>
        <v/>
      </c>
      <c r="F31" s="120" t="str">
        <f t="array" ref="F31">IFERROR(INDEX('Log Diário'!$F$2:$F$156,SMALL(IF(('Log Diário'!$B$2:$B$156="Rafael Vieira")*('Log Diário'!$A$2:$A$156=Painel!$B$4),ROW('Log Diário'!$A$2:$A$156)-1,""),2)),"")</f>
        <v/>
      </c>
      <c r="G31" s="120"/>
      <c r="H31" s="120"/>
      <c r="I31" s="120"/>
      <c r="J31" s="120"/>
      <c r="K31" s="121" t="str">
        <f t="array" ref="K31">IFERROR(INDEX('Log Diário'!$I$2:$I$156,SMALL(IF(('Log Diário'!$B$2:$B$156="Rafael Vieira")*('Log Diário'!$A$2:$A$156=Painel!$B$4),ROW('Log Diário'!$A$2:$A$156)-1,""),2)),"")</f>
        <v/>
      </c>
      <c r="L31" s="121"/>
      <c r="M31" s="120" t="str">
        <f t="array" ref="M31">IFERROR(INDEX('Log Diário'!$K$2:$K$156,SMALL(IF(('Log Diário'!$B$2:$B$156="Rafael Vieira")*('Log Diário'!$A$2:$A$156=Painel!$B$4),ROW('Log Diário'!$A$2:$A$156)-1,""),2)),"")&amp;""</f>
        <v/>
      </c>
      <c r="N31" s="120"/>
      <c r="O31" s="120"/>
      <c r="P31" s="120"/>
      <c r="Q31" s="120"/>
      <c r="R31" s="120"/>
      <c r="S31" s="77"/>
    </row>
    <row r="32" spans="1:19" ht="3" customHeight="1" x14ac:dyDescent="0.25">
      <c r="A32" s="77"/>
      <c r="B32" s="77"/>
      <c r="C32" s="77" t="str">
        <f t="array" ref="C32">IFERROR(INDEX('Log Diário'!$C$2:$C$156,SMALL(IF(('Log Diário'!$B$2:$B$156="Rafael Vieira")*('Log Diário'!$A$2:$A$156=Painel!$B$4),ROW('Log Diário'!$A$2:$A$156)-1,""),3)),"")</f>
        <v/>
      </c>
      <c r="D32" s="77" t="str">
        <f t="array" ref="D32">IFERROR(INDEX('Log Diário'!$D$2:$D$156,SMALL(IF(('Log Diário'!$B$2:$B$156="Rafael Vieira")*('Log Diário'!$A$2:$A$156=Painel!$B$4),ROW('Log Diário'!$A$2:$A$156)-1,""),3)),"")</f>
        <v/>
      </c>
      <c r="E32" s="77" t="str">
        <f t="array" ref="E32">IFERROR(INDEX('Log Diário'!$E$2:$E$156,SMALL(IF(('Log Diário'!$B$2:$B$156="Rafael Vieira")*('Log Diário'!$A$2:$A$156=Painel!$B$4),ROW('Log Diário'!$A$2:$A$156)-1,""),3)),"")</f>
        <v/>
      </c>
      <c r="F32" s="120" t="str">
        <f t="array" ref="F32">IFERROR(INDEX('Log Diário'!$F$2:$F$156,SMALL(IF(('Log Diário'!$B$2:$B$156="Rafael Vieira")*('Log Diário'!$A$2:$A$156=Painel!$B$4),ROW('Log Diário'!$A$2:$A$156)-1,""),3)),"")</f>
        <v/>
      </c>
      <c r="G32" s="120"/>
      <c r="H32" s="120"/>
      <c r="I32" s="120"/>
      <c r="J32" s="120"/>
      <c r="K32" s="121" t="str">
        <f t="array" ref="K32">IFERROR(INDEX('Log Diário'!$I$2:$I$156,SMALL(IF(('Log Diário'!$B$2:$B$156="Rafael Vieira")*('Log Diário'!$A$2:$A$156=Painel!$B$4),ROW('Log Diário'!$A$2:$A$156)-1,""),3)),"")</f>
        <v/>
      </c>
      <c r="L32" s="121"/>
      <c r="M32" s="120" t="str">
        <f t="array" ref="M32">IFERROR(INDEX('Log Diário'!$K$2:$K$156,SMALL(IF(('Log Diário'!$B$2:$B$156="Rafael Vieira")*('Log Diário'!$A$2:$A$156=Painel!$B$4),ROW('Log Diário'!$A$2:$A$156)-1,""),3)),"")&amp;""</f>
        <v/>
      </c>
      <c r="N32" s="120"/>
      <c r="O32" s="120"/>
      <c r="P32" s="120"/>
      <c r="Q32" s="120"/>
      <c r="R32" s="120"/>
      <c r="S32" s="77"/>
    </row>
    <row r="33" spans="1:19" ht="3" customHeight="1" x14ac:dyDescent="0.25">
      <c r="A33" s="77"/>
      <c r="B33" s="77"/>
      <c r="C33" s="77" t="str">
        <f t="array" ref="C33">IFERROR(INDEX('Log Diário'!$C$2:$C$156,SMALL(IF(('Log Diário'!$B$2:$B$156="Rafael Vieira")*('Log Diário'!$A$2:$A$156=Painel!$B$4),ROW('Log Diário'!$A$2:$A$156)-1,""),4)),"")</f>
        <v/>
      </c>
      <c r="D33" s="77" t="str">
        <f t="array" ref="D33">IFERROR(INDEX('Log Diário'!$D$2:$D$156,SMALL(IF(('Log Diário'!$B$2:$B$156="Rafael Vieira")*('Log Diário'!$A$2:$A$156=Painel!$B$4),ROW('Log Diário'!$A$2:$A$156)-1,""),4)),"")</f>
        <v/>
      </c>
      <c r="E33" s="77" t="str">
        <f t="array" ref="E33">IFERROR(INDEX('Log Diário'!$E$2:$E$156,SMALL(IF(('Log Diário'!$B$2:$B$156="Rafael Vieira")*('Log Diário'!$A$2:$A$156=Painel!$B$4),ROW('Log Diário'!$A$2:$A$156)-1,""),4)),"")</f>
        <v/>
      </c>
      <c r="F33" s="120" t="str">
        <f t="array" ref="F33">IFERROR(INDEX('Log Diário'!$F$2:$F$156,SMALL(IF(('Log Diário'!$B$2:$B$156="Rafael Vieira")*('Log Diário'!$A$2:$A$156=Painel!$B$4),ROW('Log Diário'!$A$2:$A$156)-1,""),4)),"")</f>
        <v/>
      </c>
      <c r="G33" s="120"/>
      <c r="H33" s="120"/>
      <c r="I33" s="120"/>
      <c r="J33" s="120"/>
      <c r="K33" s="121" t="str">
        <f t="array" ref="K33">IFERROR(INDEX('Log Diário'!$I$2:$I$156,SMALL(IF(('Log Diário'!$B$2:$B$156="Rafael Vieira")*('Log Diário'!$A$2:$A$156=Painel!$B$4),ROW('Log Diário'!$A$2:$A$156)-1,""),4)),"")</f>
        <v/>
      </c>
      <c r="L33" s="121"/>
      <c r="M33" s="120" t="str">
        <f t="array" ref="M33">IFERROR(INDEX('Log Diário'!$K$2:$K$156,SMALL(IF(('Log Diário'!$B$2:$B$156="Rafael Vieira")*('Log Diário'!$A$2:$A$156=Painel!$B$4),ROW('Log Diário'!$A$2:$A$156)-1,""),4)),"")&amp;""</f>
        <v/>
      </c>
      <c r="N33" s="120"/>
      <c r="O33" s="120"/>
      <c r="P33" s="120"/>
      <c r="Q33" s="120"/>
      <c r="R33" s="120"/>
      <c r="S33" s="77"/>
    </row>
    <row r="34" spans="1:19" ht="3" customHeight="1" x14ac:dyDescent="0.25">
      <c r="A34" s="77"/>
      <c r="B34" s="77"/>
      <c r="C34" s="77" t="str">
        <f t="array" ref="C34">IFERROR(INDEX('Log Diário'!$C$2:$C$156,SMALL(IF(('Log Diário'!$B$2:$B$156="Rafael Vieira")*('Log Diário'!$A$2:$A$156=Painel!$B$4),ROW('Log Diário'!$A$2:$A$156)-1,""),5)),"")</f>
        <v/>
      </c>
      <c r="D34" s="77" t="str">
        <f t="array" ref="D34">IFERROR(INDEX('Log Diário'!$D$2:$D$156,SMALL(IF(('Log Diário'!$B$2:$B$156="Rafael Vieira")*('Log Diário'!$A$2:$A$156=Painel!$B$4),ROW('Log Diário'!$A$2:$A$156)-1,""),5)),"")</f>
        <v/>
      </c>
      <c r="E34" s="77" t="str">
        <f t="array" ref="E34">IFERROR(INDEX('Log Diário'!$E$2:$E$156,SMALL(IF(('Log Diário'!$B$2:$B$156="Rafael Vieira")*('Log Diário'!$A$2:$A$156=Painel!$B$4),ROW('Log Diário'!$A$2:$A$156)-1,""),5)),"")</f>
        <v/>
      </c>
      <c r="F34" s="120" t="str">
        <f t="array" ref="F34">IFERROR(INDEX('Log Diário'!$F$2:$F$156,SMALL(IF(('Log Diário'!$B$2:$B$156="Rafael Vieira")*('Log Diário'!$A$2:$A$156=Painel!$B$4),ROW('Log Diário'!$A$2:$A$156)-1,""),5)),"")</f>
        <v/>
      </c>
      <c r="G34" s="120"/>
      <c r="H34" s="120"/>
      <c r="I34" s="120"/>
      <c r="J34" s="120"/>
      <c r="K34" s="121" t="str">
        <f t="array" ref="K34">IFERROR(INDEX('Log Diário'!$I$2:$I$156,SMALL(IF(('Log Diário'!$B$2:$B$156="Rafael Vieira")*('Log Diário'!$A$2:$A$156=Painel!$B$4),ROW('Log Diário'!$A$2:$A$156)-1,""),5)),"")</f>
        <v/>
      </c>
      <c r="L34" s="121"/>
      <c r="M34" s="120" t="str">
        <f t="array" ref="M34">IFERROR(INDEX('Log Diário'!$K$2:$K$156,SMALL(IF(('Log Diário'!$B$2:$B$156="Rafael Vieira")*('Log Diário'!$A$2:$A$156=Painel!$B$4),ROW('Log Diário'!$A$2:$A$156)-1,""),5)),"")&amp;""</f>
        <v/>
      </c>
      <c r="N34" s="120"/>
      <c r="O34" s="120"/>
      <c r="P34" s="120"/>
      <c r="Q34" s="120"/>
      <c r="R34" s="120"/>
      <c r="S34" s="77"/>
    </row>
    <row r="35" spans="1:19" ht="3" customHeight="1" x14ac:dyDescent="0.25">
      <c r="A35" s="77"/>
      <c r="B35" s="77"/>
      <c r="C35" s="77" t="str">
        <f t="array" ref="C35">IFERROR(INDEX('Log Diário'!$C$2:$C$156,SMALL(IF(('Log Diário'!$B$2:$B$156="Rafael Vieira")*('Log Diário'!$A$2:$A$156=Painel!$B$4),ROW('Log Diário'!$A$2:$A$156)-1,""),6)),"")</f>
        <v/>
      </c>
      <c r="D35" s="77" t="str">
        <f t="array" ref="D35">IFERROR(INDEX('Log Diário'!$D$2:$D$156,SMALL(IF(('Log Diário'!$B$2:$B$156="Rafael Vieira")*('Log Diário'!$A$2:$A$156=Painel!$B$4),ROW('Log Diário'!$A$2:$A$156)-1,""),6)),"")</f>
        <v/>
      </c>
      <c r="E35" s="77" t="str">
        <f t="array" ref="E35">IFERROR(INDEX('Log Diário'!$E$2:$E$156,SMALL(IF(('Log Diário'!$B$2:$B$156="Rafael Vieira")*('Log Diário'!$A$2:$A$156=Painel!$B$4),ROW('Log Diário'!$A$2:$A$156)-1,""),6)),"")</f>
        <v/>
      </c>
      <c r="F35" s="120" t="str">
        <f t="array" ref="F35">IFERROR(INDEX('Log Diário'!$F$2:$F$156,SMALL(IF(('Log Diário'!$B$2:$B$156="Rafael Vieira")*('Log Diário'!$A$2:$A$156=Painel!$B$4),ROW('Log Diário'!$A$2:$A$156)-1,""),6)),"")</f>
        <v/>
      </c>
      <c r="G35" s="120"/>
      <c r="H35" s="120"/>
      <c r="I35" s="120"/>
      <c r="J35" s="120"/>
      <c r="K35" s="121" t="str">
        <f t="array" ref="K35">IFERROR(INDEX('Log Diário'!$I$2:$I$156,SMALL(IF(('Log Diário'!$B$2:$B$156="Rafael Vieira")*('Log Diário'!$A$2:$A$156=Painel!$B$4),ROW('Log Diário'!$A$2:$A$156)-1,""),6)),"")</f>
        <v/>
      </c>
      <c r="L35" s="121"/>
      <c r="M35" s="120" t="str">
        <f t="array" ref="M35">IFERROR(INDEX('Log Diário'!$K$2:$K$156,SMALL(IF(('Log Diário'!$B$2:$B$156="Rafael Vieira")*('Log Diário'!$A$2:$A$156=Painel!$B$4),ROW('Log Diário'!$A$2:$A$156)-1,""),6)),"")&amp;""</f>
        <v/>
      </c>
      <c r="N35" s="120"/>
      <c r="O35" s="120"/>
      <c r="P35" s="120"/>
      <c r="Q35" s="120"/>
      <c r="R35" s="120"/>
      <c r="S35" s="77"/>
    </row>
    <row r="36" spans="1:19" ht="3" customHeight="1" x14ac:dyDescent="0.25">
      <c r="A36" s="77"/>
      <c r="B36" s="77"/>
      <c r="C36" s="77" t="str">
        <f t="array" ref="C36">IFERROR(INDEX('Log Diário'!$C$2:$C$156,SMALL(IF(('Log Diário'!$B$2:$B$156="Rafael Vieira")*('Log Diário'!$A$2:$A$156=Painel!$B$4),ROW('Log Diário'!$A$2:$A$156)-1,""),7)),"")</f>
        <v/>
      </c>
      <c r="D36" s="77" t="str">
        <f t="array" ref="D36">IFERROR(INDEX('Log Diário'!$D$2:$D$156,SMALL(IF(('Log Diário'!$B$2:$B$156="Rafael Vieira")*('Log Diário'!$A$2:$A$156=Painel!$B$4),ROW('Log Diário'!$A$2:$A$156)-1,""),7)),"")</f>
        <v/>
      </c>
      <c r="E36" s="77" t="str">
        <f t="array" ref="E36">IFERROR(INDEX('Log Diário'!$E$2:$E$156,SMALL(IF(('Log Diário'!$B$2:$B$156="Rafael Vieira")*('Log Diário'!$A$2:$A$156=Painel!$B$4),ROW('Log Diário'!$A$2:$A$156)-1,""),7)),"")</f>
        <v/>
      </c>
      <c r="F36" s="120" t="str">
        <f t="array" ref="F36">IFERROR(INDEX('Log Diário'!$F$2:$F$156,SMALL(IF(('Log Diário'!$B$2:$B$156="Rafael Vieira")*('Log Diário'!$A$2:$A$156=Painel!$B$4),ROW('Log Diário'!$A$2:$A$156)-1,""),7)),"")</f>
        <v/>
      </c>
      <c r="G36" s="120"/>
      <c r="H36" s="120"/>
      <c r="I36" s="120"/>
      <c r="J36" s="120"/>
      <c r="K36" s="121" t="str">
        <f t="array" ref="K36">IFERROR(INDEX('Log Diário'!$I$2:$I$156,SMALL(IF(('Log Diário'!$B$2:$B$156="Rafael Vieira")*('Log Diário'!$A$2:$A$156=Painel!$B$4),ROW('Log Diário'!$A$2:$A$156)-1,""),7)),"")</f>
        <v/>
      </c>
      <c r="L36" s="121"/>
      <c r="M36" s="120" t="str">
        <f t="array" ref="M36">IFERROR(INDEX('Log Diário'!$K$2:$K$156,SMALL(IF(('Log Diário'!$B$2:$B$156="Rafael Vieira")*('Log Diário'!$A$2:$A$156=Painel!$B$4),ROW('Log Diário'!$A$2:$A$156)-1,""),7)),"")&amp;""</f>
        <v/>
      </c>
      <c r="N36" s="120"/>
      <c r="O36" s="120"/>
      <c r="P36" s="120"/>
      <c r="Q36" s="120"/>
      <c r="R36" s="120"/>
      <c r="S36" s="77"/>
    </row>
    <row r="37" spans="1:19" ht="3" customHeight="1" x14ac:dyDescent="0.25">
      <c r="A37" s="77"/>
      <c r="B37" s="77"/>
      <c r="C37" s="77" t="str">
        <f t="array" ref="C37">IFERROR(INDEX('Log Diário'!$C$2:$C$156,SMALL(IF(('Log Diário'!$B$2:$B$156="Rafael Vieira")*('Log Diário'!$A$2:$A$156=Painel!$B$4),ROW('Log Diário'!$A$2:$A$156)-1,""),8)),"")</f>
        <v/>
      </c>
      <c r="D37" s="77" t="str">
        <f t="array" ref="D37">IFERROR(INDEX('Log Diário'!$D$2:$D$156,SMALL(IF(('Log Diário'!$B$2:$B$156="Rafael Vieira")*('Log Diário'!$A$2:$A$156=Painel!$B$4),ROW('Log Diário'!$A$2:$A$156)-1,""),8)),"")</f>
        <v/>
      </c>
      <c r="E37" s="77" t="str">
        <f t="array" ref="E37">IFERROR(INDEX('Log Diário'!$E$2:$E$156,SMALL(IF(('Log Diário'!$B$2:$B$156="Rafael Vieira")*('Log Diário'!$A$2:$A$156=Painel!$B$4),ROW('Log Diário'!$A$2:$A$156)-1,""),8)),"")</f>
        <v/>
      </c>
      <c r="F37" s="120" t="str">
        <f t="array" ref="F37">IFERROR(INDEX('Log Diário'!$F$2:$F$156,SMALL(IF(('Log Diário'!$B$2:$B$156="Rafael Vieira")*('Log Diário'!$A$2:$A$156=Painel!$B$4),ROW('Log Diário'!$A$2:$A$156)-1,""),8)),"")</f>
        <v/>
      </c>
      <c r="G37" s="120"/>
      <c r="H37" s="120"/>
      <c r="I37" s="120"/>
      <c r="J37" s="120"/>
      <c r="K37" s="121" t="str">
        <f t="array" ref="K37">IFERROR(INDEX('Log Diário'!$I$2:$I$156,SMALL(IF(('Log Diário'!$B$2:$B$156="Rafael Vieira")*('Log Diário'!$A$2:$A$156=Painel!$B$4),ROW('Log Diário'!$A$2:$A$156)-1,""),8)),"")</f>
        <v/>
      </c>
      <c r="L37" s="121"/>
      <c r="M37" s="120" t="str">
        <f t="array" ref="M37">IFERROR(INDEX('Log Diário'!$K$2:$K$156,SMALL(IF(('Log Diário'!$B$2:$B$156="Rafael Vieira")*('Log Diário'!$A$2:$A$156=Painel!$B$4),ROW('Log Diário'!$A$2:$A$156)-1,""),8)),"")&amp;""</f>
        <v/>
      </c>
      <c r="N37" s="120"/>
      <c r="O37" s="120"/>
      <c r="P37" s="120"/>
      <c r="Q37" s="120"/>
      <c r="R37" s="120"/>
      <c r="S37" s="77"/>
    </row>
    <row r="38" spans="1:19" ht="3" customHeight="1" x14ac:dyDescent="0.25">
      <c r="A38" s="77"/>
      <c r="B38" s="77"/>
      <c r="C38" s="77" t="str">
        <f t="array" ref="C38">IFERROR(INDEX('Log Diário'!$C$2:$C$156,SMALL(IF(('Log Diário'!$B$2:$B$156="Rafael Vieira")*('Log Diário'!$A$2:$A$156=Painel!$B$4),ROW('Log Diário'!$A$2:$A$156)-1,""),9)),"")</f>
        <v/>
      </c>
      <c r="D38" s="77" t="str">
        <f t="array" ref="D38">IFERROR(INDEX('Log Diário'!$D$2:$D$156,SMALL(IF(('Log Diário'!$B$2:$B$156="Rafael Vieira")*('Log Diário'!$A$2:$A$156=Painel!$B$4),ROW('Log Diário'!$A$2:$A$156)-1,""),9)),"")</f>
        <v/>
      </c>
      <c r="E38" s="77" t="str">
        <f t="array" ref="E38">IFERROR(INDEX('Log Diário'!$E$2:$E$156,SMALL(IF(('Log Diário'!$B$2:$B$156="Rafael Vieira")*('Log Diário'!$A$2:$A$156=Painel!$B$4),ROW('Log Diário'!$A$2:$A$156)-1,""),9)),"")</f>
        <v/>
      </c>
      <c r="F38" s="120" t="str">
        <f t="array" ref="F38">IFERROR(INDEX('Log Diário'!$F$2:$F$156,SMALL(IF(('Log Diário'!$B$2:$B$156="Rafael Vieira")*('Log Diário'!$A$2:$A$156=Painel!$B$4),ROW('Log Diário'!$A$2:$A$156)-1,""),9)),"")</f>
        <v/>
      </c>
      <c r="G38" s="120"/>
      <c r="H38" s="120"/>
      <c r="I38" s="120"/>
      <c r="J38" s="120"/>
      <c r="K38" s="121" t="str">
        <f t="array" ref="K38">IFERROR(INDEX('Log Diário'!$I$2:$I$156,SMALL(IF(('Log Diário'!$B$2:$B$156="Rafael Vieira")*('Log Diário'!$A$2:$A$156=Painel!$B$4),ROW('Log Diário'!$A$2:$A$156)-1,""),9)),"")</f>
        <v/>
      </c>
      <c r="L38" s="121"/>
      <c r="M38" s="120" t="str">
        <f t="array" ref="M38">IFERROR(INDEX('Log Diário'!$K$2:$K$156,SMALL(IF(('Log Diário'!$B$2:$B$156="Rafael Vieira")*('Log Diário'!$A$2:$A$156=Painel!$B$4),ROW('Log Diário'!$A$2:$A$156)-1,""),9)),"")&amp;""</f>
        <v/>
      </c>
      <c r="N38" s="120"/>
      <c r="O38" s="120"/>
      <c r="P38" s="120"/>
      <c r="Q38" s="120"/>
      <c r="R38" s="120"/>
      <c r="S38" s="77"/>
    </row>
    <row r="39" spans="1:19" ht="3" customHeight="1" x14ac:dyDescent="0.25">
      <c r="A39" s="77"/>
      <c r="B39" s="77"/>
      <c r="C39" s="77" t="str">
        <f t="array" ref="C39">IFERROR(INDEX('Log Diário'!$C$2:$C$156,SMALL(IF(('Log Diário'!$B$2:$B$156="Rafael Vieira")*('Log Diário'!$A$2:$A$156=Painel!$B$4),ROW('Log Diário'!$A$2:$A$156)-1,""),10)),"")</f>
        <v/>
      </c>
      <c r="D39" s="77" t="str">
        <f t="array" ref="D39">IFERROR(INDEX('Log Diário'!$D$2:$D$156,SMALL(IF(('Log Diário'!$B$2:$B$156="Rafael Vieira")*('Log Diário'!$A$2:$A$156=Painel!$B$4),ROW('Log Diário'!$A$2:$A$156)-1,""),10)),"")</f>
        <v/>
      </c>
      <c r="E39" s="77" t="str">
        <f t="array" ref="E39">IFERROR(INDEX('Log Diário'!$E$2:$E$156,SMALL(IF(('Log Diário'!$B$2:$B$156="Rafael Vieira")*('Log Diário'!$A$2:$A$156=Painel!$B$4),ROW('Log Diário'!$A$2:$A$156)-1,""),10)),"")</f>
        <v/>
      </c>
      <c r="F39" s="120" t="str">
        <f t="array" ref="F39">IFERROR(INDEX('Log Diário'!$F$2:$F$156,SMALL(IF(('Log Diário'!$B$2:$B$156="Rafael Vieira")*('Log Diário'!$A$2:$A$156=Painel!$B$4),ROW('Log Diário'!$A$2:$A$156)-1,""),10)),"")</f>
        <v/>
      </c>
      <c r="G39" s="120"/>
      <c r="H39" s="120"/>
      <c r="I39" s="120"/>
      <c r="J39" s="120"/>
      <c r="K39" s="121" t="str">
        <f t="array" ref="K39">IFERROR(INDEX('Log Diário'!$I$2:$I$156,SMALL(IF(('Log Diário'!$B$2:$B$156="Rafael Vieira")*('Log Diário'!$A$2:$A$156=Painel!$B$4),ROW('Log Diário'!$A$2:$A$156)-1,""),10)),"")</f>
        <v/>
      </c>
      <c r="L39" s="121"/>
      <c r="M39" s="120" t="str">
        <f t="array" ref="M39">IFERROR(INDEX('Log Diário'!$K$2:$K$156,SMALL(IF(('Log Diário'!$B$2:$B$156="Rafael Vieira")*('Log Diário'!$A$2:$A$156=Painel!$B$4),ROW('Log Diário'!$A$2:$A$156)-1,""),10)),"")&amp;""</f>
        <v/>
      </c>
      <c r="N39" s="120"/>
      <c r="O39" s="120"/>
      <c r="P39" s="120"/>
      <c r="Q39" s="120"/>
      <c r="R39" s="120"/>
      <c r="S39" s="77"/>
    </row>
    <row r="41" spans="1:19" ht="21.75" customHeight="1" x14ac:dyDescent="0.25">
      <c r="C41" s="122" t="str">
        <f>IF(COUNTIFS('Log Diário'!$B$2:$B$699,"Rafael Vieira",'Log Diário'!$A$2:$A$699,Painel!$B$4)=0,"⚠ Nenhuma atividade registrada para "&amp;TEXT(Painel!$B$4,"DD/MM/YYYY")&amp;" — relatório diário pendente","")</f>
        <v/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</row>
    <row r="42" spans="1:19" ht="15" customHeight="1" x14ac:dyDescent="0.25">
      <c r="C42" s="123" t="s">
        <v>503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</row>
    <row r="199" spans="3:4" ht="15" customHeight="1" x14ac:dyDescent="0.25">
      <c r="C199" s="78" t="s">
        <v>504</v>
      </c>
      <c r="D199" s="78" t="s">
        <v>505</v>
      </c>
    </row>
    <row r="200" spans="3:4" ht="15" customHeight="1" x14ac:dyDescent="0.25">
      <c r="C200" s="79" t="str">
        <f>IF(D200=0,"","Não iniciado")</f>
        <v/>
      </c>
      <c r="D200" s="79">
        <f>COUNTIFS('Log Diário'!$B$2:$B$699,"Rafael Vieira",'Log Diário'!$A$2:$A$699,Painel!$B$4,'Log Diário'!$I$2:$I$699,"Não iniciado")</f>
        <v>0</v>
      </c>
    </row>
    <row r="201" spans="3:4" ht="15" customHeight="1" x14ac:dyDescent="0.25">
      <c r="C201" s="79" t="str">
        <f>IF(D201=0,"","Em andamento")</f>
        <v/>
      </c>
      <c r="D201" s="79">
        <f>COUNTIFS('Log Diário'!$B$2:$B$699,"Rafael Vieira",'Log Diário'!$A$2:$A$699,Painel!$B$4,'Log Diário'!$I$2:$I$699,"Em andamento")</f>
        <v>0</v>
      </c>
    </row>
    <row r="202" spans="3:4" ht="15" customHeight="1" x14ac:dyDescent="0.25">
      <c r="C202" s="79" t="str">
        <f>IF(D202=0,"","Acompanhamento")</f>
        <v/>
      </c>
      <c r="D202" s="79">
        <f>COUNTIFS('Log Diário'!$B$2:$B$699,"Rafael Vieira",'Log Diário'!$A$2:$A$699,Painel!$B$4,'Log Diário'!$I$2:$I$699,"Acompanhamento")</f>
        <v>0</v>
      </c>
    </row>
    <row r="203" spans="3:4" ht="15" customHeight="1" x14ac:dyDescent="0.25">
      <c r="C203" s="79" t="str">
        <f>IF(D203=0,"","Inspecionado OK")</f>
        <v/>
      </c>
      <c r="D203" s="79">
        <f>COUNTIFS('Log Diário'!$B$2:$B$699,"Rafael Vieira",'Log Diário'!$A$2:$A$699,Painel!$B$4,'Log Diário'!$I$2:$I$699,"Inspecionado OK")</f>
        <v>0</v>
      </c>
    </row>
    <row r="204" spans="3:4" ht="15" customHeight="1" x14ac:dyDescent="0.25">
      <c r="C204" s="79" t="str">
        <f>IF(D204=0,"","Pendência")</f>
        <v/>
      </c>
      <c r="D204" s="79">
        <f>COUNTIFS('Log Diário'!$B$2:$B$699,"Rafael Vieira",'Log Diário'!$A$2:$A$699,Painel!$B$4,'Log Diário'!$I$2:$I$699,"Pendência")</f>
        <v>0</v>
      </c>
    </row>
    <row r="205" spans="3:4" ht="15" customHeight="1" x14ac:dyDescent="0.25">
      <c r="C205" s="79" t="str">
        <f>IF(D205=0,"","Reprovado")</f>
        <v/>
      </c>
      <c r="D205" s="79">
        <f>COUNTIFS('Log Diário'!$B$2:$B$699,"Rafael Vieira",'Log Diário'!$A$2:$A$699,Painel!$B$4,'Log Diário'!$I$2:$I$699,"Reprovado")</f>
        <v>0</v>
      </c>
    </row>
  </sheetData>
  <mergeCells count="52">
    <mergeCell ref="F39:J39"/>
    <mergeCell ref="K39:L39"/>
    <mergeCell ref="M39:R39"/>
    <mergeCell ref="C41:N41"/>
    <mergeCell ref="C42:N42"/>
    <mergeCell ref="F37:J37"/>
    <mergeCell ref="K37:L37"/>
    <mergeCell ref="M37:R37"/>
    <mergeCell ref="F38:J38"/>
    <mergeCell ref="K38:L38"/>
    <mergeCell ref="M38:R38"/>
    <mergeCell ref="F35:J35"/>
    <mergeCell ref="K35:L35"/>
    <mergeCell ref="M35:R35"/>
    <mergeCell ref="F36:J36"/>
    <mergeCell ref="K36:L36"/>
    <mergeCell ref="M36:R36"/>
    <mergeCell ref="F33:J33"/>
    <mergeCell ref="K33:L33"/>
    <mergeCell ref="M33:R33"/>
    <mergeCell ref="F34:J34"/>
    <mergeCell ref="K34:L34"/>
    <mergeCell ref="M34:R34"/>
    <mergeCell ref="F31:J31"/>
    <mergeCell ref="K31:L31"/>
    <mergeCell ref="M31:R31"/>
    <mergeCell ref="F32:J32"/>
    <mergeCell ref="K32:L32"/>
    <mergeCell ref="M32:R32"/>
    <mergeCell ref="F29:J29"/>
    <mergeCell ref="K29:L29"/>
    <mergeCell ref="M29:R29"/>
    <mergeCell ref="F30:J30"/>
    <mergeCell ref="K30:L30"/>
    <mergeCell ref="M30:R30"/>
    <mergeCell ref="H12:N12"/>
    <mergeCell ref="H13:N14"/>
    <mergeCell ref="H15:N15"/>
    <mergeCell ref="H16:N17"/>
    <mergeCell ref="C28:N28"/>
    <mergeCell ref="C6:F8"/>
    <mergeCell ref="G6:J8"/>
    <mergeCell ref="K6:N8"/>
    <mergeCell ref="C9:N9"/>
    <mergeCell ref="C10:N10"/>
    <mergeCell ref="C1:N1"/>
    <mergeCell ref="C2:N2"/>
    <mergeCell ref="C3:L3"/>
    <mergeCell ref="M3:N3"/>
    <mergeCell ref="C5:F5"/>
    <mergeCell ref="G5:J5"/>
    <mergeCell ref="K5:N5"/>
  </mergeCells>
  <conditionalFormatting sqref="A30:R39">
    <cfRule type="expression" dxfId="74" priority="36">
      <formula>$C30=""</formula>
    </cfRule>
  </conditionalFormatting>
  <conditionalFormatting sqref="K30:L39">
    <cfRule type="cellIs" dxfId="73" priority="2" operator="equal">
      <formula>"Não iniciado"</formula>
    </cfRule>
    <cfRule type="cellIs" dxfId="72" priority="3" operator="equal">
      <formula>"Em andamento"</formula>
    </cfRule>
    <cfRule type="cellIs" dxfId="71" priority="4" operator="equal">
      <formula>"Acompanhamento"</formula>
    </cfRule>
    <cfRule type="cellIs" dxfId="70" priority="5" operator="equal">
      <formula>"Inspecionado OK"</formula>
    </cfRule>
    <cfRule type="cellIs" dxfId="69" priority="6" operator="equal">
      <formula>"Pendência"</formula>
    </cfRule>
    <cfRule type="cellIs" dxfId="68" priority="7" operator="equal">
      <formula>"Reprovado"</formula>
    </cfRule>
    <cfRule type="cellIs" dxfId="67" priority="16" operator="equal">
      <formula>"Reprovado parcial"</formula>
    </cfRule>
    <cfRule type="cellIs" dxfId="66" priority="17" operator="equal">
      <formula>"Recebido"</formula>
    </cfRule>
    <cfRule type="cellIs" dxfId="65" priority="18" operator="equal">
      <formula>"Recebido parcial"</formula>
    </cfRule>
    <cfRule type="cellIs" dxfId="64" priority="11" operator="equal">
      <formula>"Finalizado"</formula>
    </cfRule>
    <cfRule type="cellIs" dxfId="63" priority="12" operator="equal">
      <formula>"Aprovado"</formula>
    </cfRule>
    <cfRule type="cellIs" dxfId="62" priority="19" operator="equal">
      <formula>"Inspecionado"</formula>
    </cfRule>
    <cfRule type="cellIs" dxfId="61" priority="15" operator="equal">
      <formula>"Não finalizado"</formula>
    </cfRule>
  </conditionalFormatting>
  <conditionalFormatting sqref="M30:R39">
    <cfRule type="expression" dxfId="60" priority="20">
      <formula>NOT(ISERROR(SEARCH("CHECK-IN",M30)))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205"/>
  <sheetViews>
    <sheetView showGridLines="0" zoomScaleNormal="100" workbookViewId="0"/>
  </sheetViews>
  <sheetFormatPr defaultColWidth="8.7109375" defaultRowHeight="15" x14ac:dyDescent="0.25"/>
  <cols>
    <col min="1" max="2" width="3" customWidth="1"/>
    <col min="3" max="14" width="11" customWidth="1"/>
    <col min="15" max="18" width="14" customWidth="1"/>
  </cols>
  <sheetData>
    <row r="1" spans="3:14" ht="36" customHeight="1" x14ac:dyDescent="0.25">
      <c r="C1" s="136" t="s">
        <v>510</v>
      </c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</row>
    <row r="2" spans="3:14" ht="21.75" customHeight="1" x14ac:dyDescent="0.25">
      <c r="C2" s="106" t="s">
        <v>511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3:14" ht="21.75" customHeight="1" x14ac:dyDescent="0.25">
      <c r="C3" s="107" t="s">
        <v>497</v>
      </c>
      <c r="D3" s="107"/>
      <c r="E3" s="107"/>
      <c r="F3" s="107"/>
      <c r="G3" s="107"/>
      <c r="H3" s="107"/>
      <c r="I3" s="107"/>
      <c r="J3" s="107"/>
      <c r="K3" s="107"/>
      <c r="L3" s="107"/>
      <c r="M3" s="108">
        <f>Painel!$B$4</f>
        <v>46203</v>
      </c>
      <c r="N3" s="108"/>
    </row>
    <row r="4" spans="3:14" ht="6" customHeight="1" x14ac:dyDescent="0.25"/>
    <row r="5" spans="3:14" ht="19.5" customHeight="1" x14ac:dyDescent="0.25">
      <c r="C5" s="137" t="s">
        <v>8</v>
      </c>
      <c r="D5" s="137"/>
      <c r="E5" s="137"/>
      <c r="F5" s="137"/>
      <c r="G5" s="109" t="s">
        <v>498</v>
      </c>
      <c r="H5" s="109"/>
      <c r="I5" s="109"/>
      <c r="J5" s="109"/>
      <c r="K5" s="110" t="s">
        <v>499</v>
      </c>
      <c r="L5" s="110"/>
      <c r="M5" s="110"/>
      <c r="N5" s="110"/>
    </row>
    <row r="6" spans="3:14" ht="18" customHeight="1" x14ac:dyDescent="0.25">
      <c r="C6" s="138">
        <f>COUNTIFS('Log Diário'!$B$2:$B$699,"Edigar Barreto",'Log Diário'!$A$2:$A$699,Painel!$B$4)</f>
        <v>1</v>
      </c>
      <c r="D6" s="138"/>
      <c r="E6" s="138"/>
      <c r="F6" s="138"/>
      <c r="G6" s="111">
        <f>COUNTIFS('Log Diário'!$B$2:$B$699,"Edigar Barreto",'Log Diário'!$A$2:$A$699,Painel!$B$4,'Log Diário'!$I$2:$I$699,"Em andamento")+COUNTIFS('Log Diário'!$B$2:$B$699,"Edigar Barreto",'Log Diário'!$A$2:$A$699,Painel!$B$4,'Log Diário'!$I$2:$I$699,"Acompanhamento")</f>
        <v>0</v>
      </c>
      <c r="H6" s="111"/>
      <c r="I6" s="111"/>
      <c r="J6" s="111"/>
      <c r="K6" s="112">
        <f>COUNTIFS('Log Diário'!$B$2:$B$699,"Edigar Barreto",'Log Diário'!$A$2:$A$699,Painel!$B$4,'Log Diário'!$I$2:$I$699,"Pendência")+COUNTIFS('Log Diário'!$B$2:$B$699,"Edigar Barreto",'Log Diário'!$A$2:$A$699,Painel!$B$4,'Log Diário'!$I$2:$I$699,"Reprovado")</f>
        <v>0</v>
      </c>
      <c r="L6" s="112"/>
      <c r="M6" s="112"/>
      <c r="N6" s="112"/>
    </row>
    <row r="7" spans="3:14" ht="18" customHeight="1" x14ac:dyDescent="0.25">
      <c r="C7" s="138"/>
      <c r="D7" s="138"/>
      <c r="E7" s="138"/>
      <c r="F7" s="138"/>
      <c r="G7" s="111"/>
      <c r="H7" s="111"/>
      <c r="I7" s="111"/>
      <c r="J7" s="111"/>
      <c r="K7" s="112"/>
      <c r="L7" s="112"/>
      <c r="M7" s="112"/>
      <c r="N7" s="112"/>
    </row>
    <row r="8" spans="3:14" ht="18" customHeight="1" x14ac:dyDescent="0.25">
      <c r="C8" s="138"/>
      <c r="D8" s="138"/>
      <c r="E8" s="138"/>
      <c r="F8" s="138"/>
      <c r="G8" s="111"/>
      <c r="H8" s="111"/>
      <c r="I8" s="111"/>
      <c r="J8" s="111"/>
      <c r="K8" s="112"/>
      <c r="L8" s="112"/>
      <c r="M8" s="112"/>
      <c r="N8" s="112"/>
    </row>
    <row r="9" spans="3:14" ht="6" customHeight="1" x14ac:dyDescent="0.25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3:14" ht="19.5" customHeight="1" x14ac:dyDescent="0.25">
      <c r="C10" s="114" t="str">
        <f>"📈 Total de atividades registradas em "&amp;INDEX({"janeiro";"fevereiro";"março";"abril";"maio";"junho";"julho";"agosto";"setembro";"outubro";"novembro";"dezembro"},MONTH(Painel!$B$4))&amp;"/"&amp;YEAR(Painel!$B$4)&amp;": "&amp;COUNTIFS('Log Diário'!$B$2:$B$699,"Edigar Barreto",'Log Diário'!$A$2:$A$699,"&gt;"&amp;DATE(YEAR(Painel!$B$4),MONTH(Painel!$B$4),1),'Log Diário'!$A$2:$A$699,"&lt;"&amp;DATE(YEAR(Painel!$B$4),MONTH(Painel!$B$4)+1,1))&amp;" atividades"</f>
        <v>📈 Total de atividades registradas em junho/2026: 21 atividades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3:14" ht="7.5" customHeight="1" x14ac:dyDescent="0.25"/>
    <row r="12" spans="3:14" ht="19.5" customHeight="1" x14ac:dyDescent="0.25">
      <c r="H12" s="115" t="s">
        <v>500</v>
      </c>
      <c r="I12" s="115"/>
      <c r="J12" s="115"/>
      <c r="K12" s="115"/>
      <c r="L12" s="115"/>
      <c r="M12" s="115"/>
      <c r="N12" s="115"/>
    </row>
    <row r="13" spans="3:14" ht="15" customHeight="1" x14ac:dyDescent="0.25">
      <c r="H13" s="139" t="str">
        <f>TRIM(IF(COUNTIFS('Log Diário'!$B$2:$B$699,"Edigar Barreto",'Log Diário'!$A$2:$A$699,Painel!$B$4,'Log Diário'!$C$2:$C$699,"ELE")&gt;0,"ELE  ","")&amp;IF(COUNTIFS('Log Diário'!$B$2:$B$699,"Edigar Barreto",'Log Diário'!$A$2:$A$699,Painel!$B$4,'Log Diário'!$C$2:$C$699,"TUB")&gt;0,"TUB  ","")&amp;IF(COUNTIFS('Log Diário'!$B$2:$B$699,"Edigar Barreto",'Log Diário'!$A$2:$A$699,Painel!$B$4,'Log Diário'!$C$2:$C$699,"MEC")&gt;0,"MEC  ","")&amp;IF(COUNTIFS('Log Diário'!$B$2:$B$699,"Edigar Barreto",'Log Diário'!$A$2:$A$699,Painel!$B$4,'Log Diário'!$C$2:$C$699,"SOLDA")&gt;0,"SOLDA  ","")&amp;IF(COUNTIFS('Log Diário'!$B$2:$B$699,"Edigar Barreto",'Log Diário'!$A$2:$A$699,Painel!$B$4,'Log Diário'!$C$2:$C$699,"AND")&gt;0,"AND  ","")&amp;IF(COUNTIFS('Log Diário'!$B$2:$B$699,"Edigar Barreto",'Log Diário'!$A$2:$A$699,Painel!$B$4,'Log Diário'!$C$2:$C$699,"ADM")&gt;0,"ADM  ",""))</f>
        <v>ADM</v>
      </c>
      <c r="I13" s="139"/>
      <c r="J13" s="139"/>
      <c r="K13" s="139"/>
      <c r="L13" s="139"/>
      <c r="M13" s="139"/>
      <c r="N13" s="139"/>
    </row>
    <row r="14" spans="3:14" ht="15" customHeight="1" x14ac:dyDescent="0.25">
      <c r="H14" s="139"/>
      <c r="I14" s="139"/>
      <c r="J14" s="139"/>
      <c r="K14" s="139"/>
      <c r="L14" s="139"/>
      <c r="M14" s="139"/>
      <c r="N14" s="139"/>
    </row>
    <row r="15" spans="3:14" ht="19.5" customHeight="1" x14ac:dyDescent="0.25">
      <c r="H15" s="115" t="s">
        <v>501</v>
      </c>
      <c r="I15" s="115"/>
      <c r="J15" s="115"/>
      <c r="K15" s="115"/>
      <c r="L15" s="115"/>
      <c r="M15" s="115"/>
      <c r="N15" s="115"/>
    </row>
    <row r="16" spans="3:14" ht="15" customHeight="1" x14ac:dyDescent="0.25">
      <c r="H16" s="140" t="str">
        <f t="array" ref="H16">IF(RIGHT(IFERROR(INDEX('Log Diário'!$D$2:$D$699,SMALL(IF(('Log Diário'!$B$2:$B$699="Edigar Barreto")*('Log Diário'!$A$2:$A$699=Painel!$B$4),ROW('Log Diário'!$A$2:$A$699)-1,""),1))&amp;"   |   ","")&amp;IFERROR(INDEX('Log Diário'!$D$2:$D$699,SMALL(IF(('Log Diário'!$B$2:$B$699="Edigar Barreto")*('Log Diário'!$A$2:$A$699=Painel!$B$4),ROW('Log Diário'!$A$2:$A$699)-1,""),2))&amp;"   |   ","")&amp;IFERROR(INDEX('Log Diário'!$D$2:$D$699,SMALL(IF(('Log Diário'!$B$2:$B$699="Edigar Barreto")*('Log Diário'!$A$2:$A$699=Painel!$B$4),ROW('Log Diário'!$A$2:$A$699)-1,""),3))&amp;"   |   ","")&amp;IFERROR(INDEX('Log Diário'!$D$2:$D$699,SMALL(IF(('Log Diário'!$B$2:$B$699="Edigar Barreto")*('Log Diário'!$A$2:$A$699=Painel!$B$4),ROW('Log Diário'!$A$2:$A$699)-1,""),4))&amp;"   |   ","")&amp;IFERROR(INDEX('Log Diário'!$D$2:$D$699,SMALL(IF(('Log Diário'!$B$2:$B$699="Edigar Barreto")*('Log Diário'!$A$2:$A$699=Painel!$B$4),ROW('Log Diário'!$A$2:$A$699)-1,""),5))&amp;"   |   ","")&amp;IFERROR(INDEX('Log Diário'!$D$2:$D$699,SMALL(IF(('Log Diário'!$B$2:$B$699="Edigar Barreto")*('Log Diário'!$A$2:$A$699=Painel!$B$4),ROW('Log Diário'!$A$2:$A$699)-1,""),6))&amp;"   |   ",""),7)="   |   ",LEFT(IFERROR(INDEX('Log Diário'!$D$2:$D$699,SMALL(IF(('Log Diário'!$B$2:$B$699="Edigar Barreto")*('Log Diário'!$A$2:$A$699=Painel!$B$4),ROW('Log Diário'!$A$2:$A$699)-1,""),1))&amp;"   |   ","")&amp;IFERROR(INDEX('Log Diário'!$D$2:$D$699,SMALL(IF(('Log Diário'!$B$2:$B$699="Edigar Barreto")*('Log Diário'!$A$2:$A$699=Painel!$B$4),ROW('Log Diário'!$A$2:$A$699)-1,""),2))&amp;"   |   ","")&amp;IFERROR(INDEX('Log Diário'!$D$2:$D$699,SMALL(IF(('Log Diário'!$B$2:$B$699="Edigar Barreto")*('Log Diário'!$A$2:$A$699=Painel!$B$4),ROW('Log Diário'!$A$2:$A$699)-1,""),3))&amp;"   |   ","")&amp;IFERROR(INDEX('Log Diário'!$D$2:$D$699,SMALL(IF(('Log Diário'!$B$2:$B$699="Edigar Barreto")*('Log Diário'!$A$2:$A$699=Painel!$B$4),ROW('Log Diário'!$A$2:$A$699)-1,""),4))&amp;"   |   ","")&amp;IFERROR(INDEX('Log Diário'!$D$2:$D$699,SMALL(IF(('Log Diário'!$B$2:$B$699="Edigar Barreto")*('Log Diário'!$A$2:$A$699=Painel!$B$4),ROW('Log Diário'!$A$2:$A$699)-1,""),5))&amp;"   |   ","")&amp;IFERROR(INDEX('Log Diário'!$D$2:$D$699,SMALL(IF(('Log Diário'!$B$2:$B$699="Edigar Barreto")*('Log Diário'!$A$2:$A$699=Painel!$B$4),ROW('Log Diário'!$A$2:$A$699)-1,""),6))&amp;"   |   ",""),LEN(IFERROR(INDEX('Log Diário'!$D$2:$D$699,SMALL(IF(('Log Diário'!$B$2:$B$699="Edigar Barreto")*('Log Diário'!$A$2:$A$699=Painel!$B$4),ROW('Log Diário'!$A$2:$A$699)-1,""),1))&amp;"   |   ","")&amp;IFERROR(INDEX('Log Diário'!$D$2:$D$699,SMALL(IF(('Log Diário'!$B$2:$B$699="Edigar Barreto")*('Log Diário'!$A$2:$A$699=Painel!$B$4),ROW('Log Diário'!$A$2:$A$699)-1,""),2))&amp;"   |   ","")&amp;IFERROR(INDEX('Log Diário'!$D$2:$D$699,SMALL(IF(('Log Diário'!$B$2:$B$699="Edigar Barreto")*('Log Diário'!$A$2:$A$699=Painel!$B$4),ROW('Log Diário'!$A$2:$A$699)-1,""),3))&amp;"   |   ","")&amp;IFERROR(INDEX('Log Diário'!$D$2:$D$699,SMALL(IF(('Log Diário'!$B$2:$B$699="Edigar Barreto")*('Log Diário'!$A$2:$A$699=Painel!$B$4),ROW('Log Diário'!$A$2:$A$699)-1,""),4))&amp;"   |   ","")&amp;IFERROR(INDEX('Log Diário'!$D$2:$D$699,SMALL(IF(('Log Diário'!$B$2:$B$699="Edigar Barreto")*('Log Diário'!$A$2:$A$699=Painel!$B$4),ROW('Log Diário'!$A$2:$A$699)-1,""),5))&amp;"   |   ","")&amp;IFERROR(INDEX('Log Diário'!$D$2:$D$699,SMALL(IF(('Log Diário'!$B$2:$B$699="Edigar Barreto")*('Log Diário'!$A$2:$A$699=Painel!$B$4),ROW('Log Diário'!$A$2:$A$699)-1,""),6))&amp;"   |   ",""))-7),IFERROR(INDEX('Log Diário'!$D$2:$D$699,SMALL(IF(('Log Diário'!$B$2:$B$699="Edigar Barreto")*('Log Diário'!$A$2:$A$699=Painel!$B$4),ROW('Log Diário'!$A$2:$A$699)-1,""),1))&amp;"   |   ","")&amp;IFERROR(INDEX('Log Diário'!$D$2:$D$699,SMALL(IF(('Log Diário'!$B$2:$B$699="Edigar Barreto")*('Log Diário'!$A$2:$A$699=Painel!$B$4),ROW('Log Diário'!$A$2:$A$699)-1,""),2))&amp;"   |   ","")&amp;IFERROR(INDEX('Log Diário'!$D$2:$D$699,SMALL(IF(('Log Diário'!$B$2:$B$699="Edigar Barreto")*('Log Diário'!$A$2:$A$699=Painel!$B$4),ROW('Log Diário'!$A$2:$A$699)-1,""),3))&amp;"   |   ","")&amp;IFERROR(INDEX('Log Diário'!$D$2:$D$699,SMALL(IF(('Log Diário'!$B$2:$B$699="Edigar Barreto")*('Log Diário'!$A$2:$A$699=Painel!$B$4),ROW('Log Diário'!$A$2:$A$699)-1,""),4))&amp;"   |   ","")&amp;IFERROR(INDEX('Log Diário'!$D$2:$D$699,SMALL(IF(('Log Diário'!$B$2:$B$699="Edigar Barreto")*('Log Diário'!$A$2:$A$699=Painel!$B$4),ROW('Log Diário'!$A$2:$A$699)-1,""),5))&amp;"   |   ","")&amp;IFERROR(INDEX('Log Diário'!$D$2:$D$699,SMALL(IF(('Log Diário'!$B$2:$B$699="Edigar Barreto")*('Log Diário'!$A$2:$A$699=Painel!$B$4),ROW('Log Diário'!$A$2:$A$699)-1,""),6))&amp;"   |   ",""))</f>
        <v>CWA-13/14 / Platô 9A</v>
      </c>
      <c r="I16" s="140"/>
      <c r="J16" s="140"/>
      <c r="K16" s="140"/>
      <c r="L16" s="140"/>
      <c r="M16" s="140"/>
      <c r="N16" s="140"/>
    </row>
    <row r="17" spans="1:19" ht="15" customHeight="1" x14ac:dyDescent="0.25">
      <c r="H17" s="140"/>
      <c r="I17" s="140"/>
      <c r="J17" s="140"/>
      <c r="K17" s="140"/>
      <c r="L17" s="140"/>
      <c r="M17" s="140"/>
      <c r="N17" s="140"/>
    </row>
    <row r="18" spans="1:19" ht="13.5" customHeight="1" x14ac:dyDescent="0.25"/>
    <row r="19" spans="1:19" ht="13.5" customHeight="1" x14ac:dyDescent="0.25"/>
    <row r="20" spans="1:19" ht="13.5" customHeight="1" x14ac:dyDescent="0.25"/>
    <row r="21" spans="1:19" ht="13.5" customHeight="1" x14ac:dyDescent="0.25"/>
    <row r="22" spans="1:19" ht="13.5" customHeight="1" x14ac:dyDescent="0.25"/>
    <row r="23" spans="1:19" ht="13.5" customHeight="1" x14ac:dyDescent="0.25"/>
    <row r="24" spans="1:19" ht="13.5" customHeight="1" x14ac:dyDescent="0.25"/>
    <row r="25" spans="1:19" ht="13.5" customHeight="1" x14ac:dyDescent="0.25"/>
    <row r="26" spans="1:19" ht="13.5" customHeight="1" x14ac:dyDescent="0.25"/>
    <row r="28" spans="1:19" ht="24" customHeight="1" x14ac:dyDescent="0.25">
      <c r="C28" s="87" t="str">
        <f>"🗓️ ATIVIDADES DE HOJE — "&amp;TEXT(Painel!$B$4,"DD/MM/YYYY")</f>
        <v>🗓️ ATIVIDADES DE HOJE — 30/06/YYYY</v>
      </c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</row>
    <row r="29" spans="1:19" ht="19.5" customHeight="1" x14ac:dyDescent="0.25">
      <c r="C29" s="62" t="s">
        <v>20</v>
      </c>
      <c r="D29" s="62" t="s">
        <v>21</v>
      </c>
      <c r="E29" s="62" t="s">
        <v>22</v>
      </c>
      <c r="F29" s="118" t="s">
        <v>23</v>
      </c>
      <c r="G29" s="118"/>
      <c r="H29" s="118"/>
      <c r="I29" s="118"/>
      <c r="J29" s="118"/>
      <c r="K29" s="118" t="s">
        <v>24</v>
      </c>
      <c r="L29" s="118"/>
      <c r="M29" s="119" t="s">
        <v>502</v>
      </c>
      <c r="N29" s="119"/>
      <c r="O29" s="119"/>
      <c r="P29" s="119"/>
      <c r="Q29" s="119"/>
      <c r="R29" s="119"/>
    </row>
    <row r="30" spans="1:19" ht="27.75" customHeight="1" x14ac:dyDescent="0.25">
      <c r="A30" s="80"/>
      <c r="B30" s="80"/>
      <c r="C30" s="81" t="str">
        <f t="array" ref="C30">IFERROR(INDEX('Log Diário'!$C$2:$C$156,SMALL(IF(('Log Diário'!$B$2:$B$156="Edigar Barreto")*('Log Diário'!$A$2:$A$156=Painel!$B$4),ROW('Log Diário'!$A$2:$A$156)-1,""),1)),"")</f>
        <v>ADM</v>
      </c>
      <c r="D30" s="21" t="str">
        <f t="array" ref="D30">IFERROR(INDEX('Log Diário'!$D$2:$D$156,SMALL(IF(('Log Diário'!$B$2:$B$156="Edigar Barreto")*('Log Diário'!$A$2:$A$156=Painel!$B$4),ROW('Log Diário'!$A$2:$A$156)-1,""),1)),"")</f>
        <v>CWA-13/14 / Platô 9A</v>
      </c>
      <c r="E30" s="21" t="str">
        <f t="array" ref="E30">IFERROR(INDEX('Log Diário'!$E$2:$E$156,SMALL(IF(('Log Diário'!$B$2:$B$156="Edigar Barreto")*('Log Diário'!$A$2:$A$156=Painel!$B$4),ROW('Log Diário'!$A$2:$A$156)-1,""),1)),"")</f>
        <v>N/A</v>
      </c>
      <c r="F30" s="97" t="str">
        <f t="array" ref="F30">IFERROR(INDEX('Log Diário'!$F$2:$F$156,SMALL(IF(('Log Diário'!$B$2:$B$156="Edigar Barreto")*('Log Diário'!$A$2:$A$156=Painel!$B$4),ROW('Log Diário'!$A$2:$A$156)-1,""),1)),"")</f>
        <v>Levantamento e baixa de pendências no ControlStru</v>
      </c>
      <c r="G30" s="97"/>
      <c r="H30" s="97"/>
      <c r="I30" s="97"/>
      <c r="J30" s="97"/>
      <c r="K30" s="129" t="str">
        <f t="array" ref="K30">IFERROR(INDEX('Log Diário'!$I$2:$I$156,SMALL(IF(('Log Diário'!$B$2:$B$156="Edigar Barreto")*('Log Diário'!$A$2:$A$156=Painel!$B$4),ROW('Log Diário'!$A$2:$A$156)-1,""),1)),"")</f>
        <v>N/A</v>
      </c>
      <c r="L30" s="129"/>
      <c r="M30" s="130" t="str">
        <f t="array" ref="M30">IFERROR(INDEX('Log Diário'!$K$2:$K$156,SMALL(IF(('Log Diário'!$B$2:$B$156="Edigar Barreto")*('Log Diário'!$A$2:$A$156=Painel!$B$4),ROW('Log Diário'!$A$2:$A$156)-1,""),1)),"")&amp;""</f>
        <v/>
      </c>
      <c r="N30" s="130"/>
      <c r="O30" s="130"/>
      <c r="P30" s="130"/>
      <c r="Q30" s="130"/>
      <c r="R30" s="130"/>
      <c r="S30" s="21"/>
    </row>
    <row r="31" spans="1:19" ht="3" customHeight="1" x14ac:dyDescent="0.25">
      <c r="A31" s="77"/>
      <c r="B31" s="77"/>
      <c r="C31" s="77" t="str">
        <f t="array" ref="C31">IFERROR(INDEX('Log Diário'!$C$2:$C$156,SMALL(IF(('Log Diário'!$B$2:$B$156="Edigar Barreto")*('Log Diário'!$A$2:$A$156=Painel!$B$4),ROW('Log Diário'!$A$2:$A$156)-1,""),2)),"")</f>
        <v/>
      </c>
      <c r="D31" s="77" t="str">
        <f t="array" ref="D31">IFERROR(INDEX('Log Diário'!$D$2:$D$156,SMALL(IF(('Log Diário'!$B$2:$B$156="Edigar Barreto")*('Log Diário'!$A$2:$A$156=Painel!$B$4),ROW('Log Diário'!$A$2:$A$156)-1,""),2)),"")</f>
        <v/>
      </c>
      <c r="E31" s="77" t="str">
        <f t="array" ref="E31">IFERROR(INDEX('Log Diário'!$E$2:$E$156,SMALL(IF(('Log Diário'!$B$2:$B$156="Edigar Barreto")*('Log Diário'!$A$2:$A$156=Painel!$B$4),ROW('Log Diário'!$A$2:$A$156)-1,""),2)),"")</f>
        <v/>
      </c>
      <c r="F31" s="120" t="str">
        <f t="array" ref="F31">IFERROR(INDEX('Log Diário'!$F$2:$F$156,SMALL(IF(('Log Diário'!$B$2:$B$156="Edigar Barreto")*('Log Diário'!$A$2:$A$156=Painel!$B$4),ROW('Log Diário'!$A$2:$A$156)-1,""),2)),"")</f>
        <v/>
      </c>
      <c r="G31" s="120"/>
      <c r="H31" s="120"/>
      <c r="I31" s="120"/>
      <c r="J31" s="120"/>
      <c r="K31" s="121" t="str">
        <f t="array" ref="K31">IFERROR(INDEX('Log Diário'!$I$2:$I$156,SMALL(IF(('Log Diário'!$B$2:$B$156="Edigar Barreto")*('Log Diário'!$A$2:$A$156=Painel!$B$4),ROW('Log Diário'!$A$2:$A$156)-1,""),2)),"")</f>
        <v/>
      </c>
      <c r="L31" s="121"/>
      <c r="M31" s="120" t="str">
        <f t="array" ref="M31">IFERROR(INDEX('Log Diário'!$K$2:$K$156,SMALL(IF(('Log Diário'!$B$2:$B$156="Edigar Barreto")*('Log Diário'!$A$2:$A$156=Painel!$B$4),ROW('Log Diário'!$A$2:$A$156)-1,""),2)),"")&amp;""</f>
        <v/>
      </c>
      <c r="N31" s="120"/>
      <c r="O31" s="120"/>
      <c r="P31" s="120"/>
      <c r="Q31" s="120"/>
      <c r="R31" s="120"/>
      <c r="S31" s="77"/>
    </row>
    <row r="32" spans="1:19" ht="3" customHeight="1" x14ac:dyDescent="0.25">
      <c r="A32" s="77"/>
      <c r="B32" s="77"/>
      <c r="C32" s="77" t="str">
        <f t="array" ref="C32">IFERROR(INDEX('Log Diário'!$C$2:$C$156,SMALL(IF(('Log Diário'!$B$2:$B$156="Edigar Barreto")*('Log Diário'!$A$2:$A$156=Painel!$B$4),ROW('Log Diário'!$A$2:$A$156)-1,""),3)),"")</f>
        <v/>
      </c>
      <c r="D32" s="77" t="str">
        <f t="array" ref="D32">IFERROR(INDEX('Log Diário'!$D$2:$D$156,SMALL(IF(('Log Diário'!$B$2:$B$156="Edigar Barreto")*('Log Diário'!$A$2:$A$156=Painel!$B$4),ROW('Log Diário'!$A$2:$A$156)-1,""),3)),"")</f>
        <v/>
      </c>
      <c r="E32" s="77" t="str">
        <f t="array" ref="E32">IFERROR(INDEX('Log Diário'!$E$2:$E$156,SMALL(IF(('Log Diário'!$B$2:$B$156="Edigar Barreto")*('Log Diário'!$A$2:$A$156=Painel!$B$4),ROW('Log Diário'!$A$2:$A$156)-1,""),3)),"")</f>
        <v/>
      </c>
      <c r="F32" s="120" t="str">
        <f t="array" ref="F32">IFERROR(INDEX('Log Diário'!$F$2:$F$156,SMALL(IF(('Log Diário'!$B$2:$B$156="Edigar Barreto")*('Log Diário'!$A$2:$A$156=Painel!$B$4),ROW('Log Diário'!$A$2:$A$156)-1,""),3)),"")</f>
        <v/>
      </c>
      <c r="G32" s="120"/>
      <c r="H32" s="120"/>
      <c r="I32" s="120"/>
      <c r="J32" s="120"/>
      <c r="K32" s="121" t="str">
        <f t="array" ref="K32">IFERROR(INDEX('Log Diário'!$I$2:$I$156,SMALL(IF(('Log Diário'!$B$2:$B$156="Edigar Barreto")*('Log Diário'!$A$2:$A$156=Painel!$B$4),ROW('Log Diário'!$A$2:$A$156)-1,""),3)),"")</f>
        <v/>
      </c>
      <c r="L32" s="121"/>
      <c r="M32" s="120" t="str">
        <f t="array" ref="M32">IFERROR(INDEX('Log Diário'!$K$2:$K$156,SMALL(IF(('Log Diário'!$B$2:$B$156="Edigar Barreto")*('Log Diário'!$A$2:$A$156=Painel!$B$4),ROW('Log Diário'!$A$2:$A$156)-1,""),3)),"")&amp;""</f>
        <v/>
      </c>
      <c r="N32" s="120"/>
      <c r="O32" s="120"/>
      <c r="P32" s="120"/>
      <c r="Q32" s="120"/>
      <c r="R32" s="120"/>
      <c r="S32" s="77"/>
    </row>
    <row r="33" spans="1:19" ht="3" customHeight="1" x14ac:dyDescent="0.25">
      <c r="A33" s="77"/>
      <c r="B33" s="77"/>
      <c r="C33" s="77" t="str">
        <f t="array" ref="C33">IFERROR(INDEX('Log Diário'!$C$2:$C$156,SMALL(IF(('Log Diário'!$B$2:$B$156="Edigar Barreto")*('Log Diário'!$A$2:$A$156=Painel!$B$4),ROW('Log Diário'!$A$2:$A$156)-1,""),4)),"")</f>
        <v/>
      </c>
      <c r="D33" s="77" t="str">
        <f t="array" ref="D33">IFERROR(INDEX('Log Diário'!$D$2:$D$156,SMALL(IF(('Log Diário'!$B$2:$B$156="Edigar Barreto")*('Log Diário'!$A$2:$A$156=Painel!$B$4),ROW('Log Diário'!$A$2:$A$156)-1,""),4)),"")</f>
        <v/>
      </c>
      <c r="E33" s="77" t="str">
        <f t="array" ref="E33">IFERROR(INDEX('Log Diário'!$E$2:$E$156,SMALL(IF(('Log Diário'!$B$2:$B$156="Edigar Barreto")*('Log Diário'!$A$2:$A$156=Painel!$B$4),ROW('Log Diário'!$A$2:$A$156)-1,""),4)),"")</f>
        <v/>
      </c>
      <c r="F33" s="120" t="str">
        <f t="array" ref="F33">IFERROR(INDEX('Log Diário'!$F$2:$F$156,SMALL(IF(('Log Diário'!$B$2:$B$156="Edigar Barreto")*('Log Diário'!$A$2:$A$156=Painel!$B$4),ROW('Log Diário'!$A$2:$A$156)-1,""),4)),"")</f>
        <v/>
      </c>
      <c r="G33" s="120"/>
      <c r="H33" s="120"/>
      <c r="I33" s="120"/>
      <c r="J33" s="120"/>
      <c r="K33" s="121" t="str">
        <f t="array" ref="K33">IFERROR(INDEX('Log Diário'!$I$2:$I$156,SMALL(IF(('Log Diário'!$B$2:$B$156="Edigar Barreto")*('Log Diário'!$A$2:$A$156=Painel!$B$4),ROW('Log Diário'!$A$2:$A$156)-1,""),4)),"")</f>
        <v/>
      </c>
      <c r="L33" s="121"/>
      <c r="M33" s="120" t="str">
        <f t="array" ref="M33">IFERROR(INDEX('Log Diário'!$K$2:$K$156,SMALL(IF(('Log Diário'!$B$2:$B$156="Edigar Barreto")*('Log Diário'!$A$2:$A$156=Painel!$B$4),ROW('Log Diário'!$A$2:$A$156)-1,""),4)),"")&amp;""</f>
        <v/>
      </c>
      <c r="N33" s="120"/>
      <c r="O33" s="120"/>
      <c r="P33" s="120"/>
      <c r="Q33" s="120"/>
      <c r="R33" s="120"/>
      <c r="S33" s="77"/>
    </row>
    <row r="34" spans="1:19" ht="3" customHeight="1" x14ac:dyDescent="0.25">
      <c r="A34" s="77"/>
      <c r="B34" s="77"/>
      <c r="C34" s="77" t="str">
        <f t="array" ref="C34">IFERROR(INDEX('Log Diário'!$C$2:$C$156,SMALL(IF(('Log Diário'!$B$2:$B$156="Edigar Barreto")*('Log Diário'!$A$2:$A$156=Painel!$B$4),ROW('Log Diário'!$A$2:$A$156)-1,""),5)),"")</f>
        <v/>
      </c>
      <c r="D34" s="77" t="str">
        <f t="array" ref="D34">IFERROR(INDEX('Log Diário'!$D$2:$D$156,SMALL(IF(('Log Diário'!$B$2:$B$156="Edigar Barreto")*('Log Diário'!$A$2:$A$156=Painel!$B$4),ROW('Log Diário'!$A$2:$A$156)-1,""),5)),"")</f>
        <v/>
      </c>
      <c r="E34" s="77" t="str">
        <f t="array" ref="E34">IFERROR(INDEX('Log Diário'!$E$2:$E$156,SMALL(IF(('Log Diário'!$B$2:$B$156="Edigar Barreto")*('Log Diário'!$A$2:$A$156=Painel!$B$4),ROW('Log Diário'!$A$2:$A$156)-1,""),5)),"")</f>
        <v/>
      </c>
      <c r="F34" s="120" t="str">
        <f t="array" ref="F34">IFERROR(INDEX('Log Diário'!$F$2:$F$156,SMALL(IF(('Log Diário'!$B$2:$B$156="Edigar Barreto")*('Log Diário'!$A$2:$A$156=Painel!$B$4),ROW('Log Diário'!$A$2:$A$156)-1,""),5)),"")</f>
        <v/>
      </c>
      <c r="G34" s="120"/>
      <c r="H34" s="120"/>
      <c r="I34" s="120"/>
      <c r="J34" s="120"/>
      <c r="K34" s="121" t="str">
        <f t="array" ref="K34">IFERROR(INDEX('Log Diário'!$I$2:$I$156,SMALL(IF(('Log Diário'!$B$2:$B$156="Edigar Barreto")*('Log Diário'!$A$2:$A$156=Painel!$B$4),ROW('Log Diário'!$A$2:$A$156)-1,""),5)),"")</f>
        <v/>
      </c>
      <c r="L34" s="121"/>
      <c r="M34" s="120" t="str">
        <f t="array" ref="M34">IFERROR(INDEX('Log Diário'!$K$2:$K$156,SMALL(IF(('Log Diário'!$B$2:$B$156="Edigar Barreto")*('Log Diário'!$A$2:$A$156=Painel!$B$4),ROW('Log Diário'!$A$2:$A$156)-1,""),5)),"")&amp;""</f>
        <v/>
      </c>
      <c r="N34" s="120"/>
      <c r="O34" s="120"/>
      <c r="P34" s="120"/>
      <c r="Q34" s="120"/>
      <c r="R34" s="120"/>
      <c r="S34" s="77"/>
    </row>
    <row r="35" spans="1:19" ht="3" customHeight="1" x14ac:dyDescent="0.25">
      <c r="A35" s="77"/>
      <c r="B35" s="77"/>
      <c r="C35" s="77" t="str">
        <f t="array" ref="C35">IFERROR(INDEX('Log Diário'!$C$2:$C$156,SMALL(IF(('Log Diário'!$B$2:$B$156="Edigar Barreto")*('Log Diário'!$A$2:$A$156=Painel!$B$4),ROW('Log Diário'!$A$2:$A$156)-1,""),6)),"")</f>
        <v/>
      </c>
      <c r="D35" s="77" t="str">
        <f t="array" ref="D35">IFERROR(INDEX('Log Diário'!$D$2:$D$156,SMALL(IF(('Log Diário'!$B$2:$B$156="Edigar Barreto")*('Log Diário'!$A$2:$A$156=Painel!$B$4),ROW('Log Diário'!$A$2:$A$156)-1,""),6)),"")</f>
        <v/>
      </c>
      <c r="E35" s="77" t="str">
        <f t="array" ref="E35">IFERROR(INDEX('Log Diário'!$E$2:$E$156,SMALL(IF(('Log Diário'!$B$2:$B$156="Edigar Barreto")*('Log Diário'!$A$2:$A$156=Painel!$B$4),ROW('Log Diário'!$A$2:$A$156)-1,""),6)),"")</f>
        <v/>
      </c>
      <c r="F35" s="120" t="str">
        <f t="array" ref="F35">IFERROR(INDEX('Log Diário'!$F$2:$F$156,SMALL(IF(('Log Diário'!$B$2:$B$156="Edigar Barreto")*('Log Diário'!$A$2:$A$156=Painel!$B$4),ROW('Log Diário'!$A$2:$A$156)-1,""),6)),"")</f>
        <v/>
      </c>
      <c r="G35" s="120"/>
      <c r="H35" s="120"/>
      <c r="I35" s="120"/>
      <c r="J35" s="120"/>
      <c r="K35" s="121" t="str">
        <f t="array" ref="K35">IFERROR(INDEX('Log Diário'!$I$2:$I$156,SMALL(IF(('Log Diário'!$B$2:$B$156="Edigar Barreto")*('Log Diário'!$A$2:$A$156=Painel!$B$4),ROW('Log Diário'!$A$2:$A$156)-1,""),6)),"")</f>
        <v/>
      </c>
      <c r="L35" s="121"/>
      <c r="M35" s="120" t="str">
        <f t="array" ref="M35">IFERROR(INDEX('Log Diário'!$K$2:$K$156,SMALL(IF(('Log Diário'!$B$2:$B$156="Edigar Barreto")*('Log Diário'!$A$2:$A$156=Painel!$B$4),ROW('Log Diário'!$A$2:$A$156)-1,""),6)),"")&amp;""</f>
        <v/>
      </c>
      <c r="N35" s="120"/>
      <c r="O35" s="120"/>
      <c r="P35" s="120"/>
      <c r="Q35" s="120"/>
      <c r="R35" s="120"/>
      <c r="S35" s="77"/>
    </row>
    <row r="36" spans="1:19" ht="3" customHeight="1" x14ac:dyDescent="0.25">
      <c r="A36" s="77"/>
      <c r="B36" s="77"/>
      <c r="C36" s="77" t="str">
        <f t="array" ref="C36">IFERROR(INDEX('Log Diário'!$C$2:$C$156,SMALL(IF(('Log Diário'!$B$2:$B$156="Edigar Barreto")*('Log Diário'!$A$2:$A$156=Painel!$B$4),ROW('Log Diário'!$A$2:$A$156)-1,""),7)),"")</f>
        <v/>
      </c>
      <c r="D36" s="77" t="str">
        <f t="array" ref="D36">IFERROR(INDEX('Log Diário'!$D$2:$D$156,SMALL(IF(('Log Diário'!$B$2:$B$156="Edigar Barreto")*('Log Diário'!$A$2:$A$156=Painel!$B$4),ROW('Log Diário'!$A$2:$A$156)-1,""),7)),"")</f>
        <v/>
      </c>
      <c r="E36" s="77" t="str">
        <f t="array" ref="E36">IFERROR(INDEX('Log Diário'!$E$2:$E$156,SMALL(IF(('Log Diário'!$B$2:$B$156="Edigar Barreto")*('Log Diário'!$A$2:$A$156=Painel!$B$4),ROW('Log Diário'!$A$2:$A$156)-1,""),7)),"")</f>
        <v/>
      </c>
      <c r="F36" s="120" t="str">
        <f t="array" ref="F36">IFERROR(INDEX('Log Diário'!$F$2:$F$156,SMALL(IF(('Log Diário'!$B$2:$B$156="Edigar Barreto")*('Log Diário'!$A$2:$A$156=Painel!$B$4),ROW('Log Diário'!$A$2:$A$156)-1,""),7)),"")</f>
        <v/>
      </c>
      <c r="G36" s="120"/>
      <c r="H36" s="120"/>
      <c r="I36" s="120"/>
      <c r="J36" s="120"/>
      <c r="K36" s="121" t="str">
        <f t="array" ref="K36">IFERROR(INDEX('Log Diário'!$I$2:$I$156,SMALL(IF(('Log Diário'!$B$2:$B$156="Edigar Barreto")*('Log Diário'!$A$2:$A$156=Painel!$B$4),ROW('Log Diário'!$A$2:$A$156)-1,""),7)),"")</f>
        <v/>
      </c>
      <c r="L36" s="121"/>
      <c r="M36" s="120" t="str">
        <f t="array" ref="M36">IFERROR(INDEX('Log Diário'!$K$2:$K$156,SMALL(IF(('Log Diário'!$B$2:$B$156="Edigar Barreto")*('Log Diário'!$A$2:$A$156=Painel!$B$4),ROW('Log Diário'!$A$2:$A$156)-1,""),7)),"")&amp;""</f>
        <v/>
      </c>
      <c r="N36" s="120"/>
      <c r="O36" s="120"/>
      <c r="P36" s="120"/>
      <c r="Q36" s="120"/>
      <c r="R36" s="120"/>
      <c r="S36" s="77"/>
    </row>
    <row r="37" spans="1:19" ht="3" customHeight="1" x14ac:dyDescent="0.25">
      <c r="A37" s="77"/>
      <c r="B37" s="77"/>
      <c r="C37" s="77" t="str">
        <f t="array" ref="C37">IFERROR(INDEX('Log Diário'!$C$2:$C$156,SMALL(IF(('Log Diário'!$B$2:$B$156="Edigar Barreto")*('Log Diário'!$A$2:$A$156=Painel!$B$4),ROW('Log Diário'!$A$2:$A$156)-1,""),8)),"")</f>
        <v/>
      </c>
      <c r="D37" s="77" t="str">
        <f t="array" ref="D37">IFERROR(INDEX('Log Diário'!$D$2:$D$156,SMALL(IF(('Log Diário'!$B$2:$B$156="Edigar Barreto")*('Log Diário'!$A$2:$A$156=Painel!$B$4),ROW('Log Diário'!$A$2:$A$156)-1,""),8)),"")</f>
        <v/>
      </c>
      <c r="E37" s="77" t="str">
        <f t="array" ref="E37">IFERROR(INDEX('Log Diário'!$E$2:$E$156,SMALL(IF(('Log Diário'!$B$2:$B$156="Edigar Barreto")*('Log Diário'!$A$2:$A$156=Painel!$B$4),ROW('Log Diário'!$A$2:$A$156)-1,""),8)),"")</f>
        <v/>
      </c>
      <c r="F37" s="120" t="str">
        <f t="array" ref="F37">IFERROR(INDEX('Log Diário'!$F$2:$F$156,SMALL(IF(('Log Diário'!$B$2:$B$156="Edigar Barreto")*('Log Diário'!$A$2:$A$156=Painel!$B$4),ROW('Log Diário'!$A$2:$A$156)-1,""),8)),"")</f>
        <v/>
      </c>
      <c r="G37" s="120"/>
      <c r="H37" s="120"/>
      <c r="I37" s="120"/>
      <c r="J37" s="120"/>
      <c r="K37" s="121" t="str">
        <f t="array" ref="K37">IFERROR(INDEX('Log Diário'!$I$2:$I$156,SMALL(IF(('Log Diário'!$B$2:$B$156="Edigar Barreto")*('Log Diário'!$A$2:$A$156=Painel!$B$4),ROW('Log Diário'!$A$2:$A$156)-1,""),8)),"")</f>
        <v/>
      </c>
      <c r="L37" s="121"/>
      <c r="M37" s="120" t="str">
        <f t="array" ref="M37">IFERROR(INDEX('Log Diário'!$K$2:$K$156,SMALL(IF(('Log Diário'!$B$2:$B$156="Edigar Barreto")*('Log Diário'!$A$2:$A$156=Painel!$B$4),ROW('Log Diário'!$A$2:$A$156)-1,""),8)),"")&amp;""</f>
        <v/>
      </c>
      <c r="N37" s="120"/>
      <c r="O37" s="120"/>
      <c r="P37" s="120"/>
      <c r="Q37" s="120"/>
      <c r="R37" s="120"/>
      <c r="S37" s="77"/>
    </row>
    <row r="38" spans="1:19" ht="3" customHeight="1" x14ac:dyDescent="0.25">
      <c r="A38" s="77"/>
      <c r="B38" s="77"/>
      <c r="C38" s="77" t="str">
        <f t="array" ref="C38">IFERROR(INDEX('Log Diário'!$C$2:$C$156,SMALL(IF(('Log Diário'!$B$2:$B$156="Edigar Barreto")*('Log Diário'!$A$2:$A$156=Painel!$B$4),ROW('Log Diário'!$A$2:$A$156)-1,""),9)),"")</f>
        <v/>
      </c>
      <c r="D38" s="77" t="str">
        <f t="array" ref="D38">IFERROR(INDEX('Log Diário'!$D$2:$D$156,SMALL(IF(('Log Diário'!$B$2:$B$156="Edigar Barreto")*('Log Diário'!$A$2:$A$156=Painel!$B$4),ROW('Log Diário'!$A$2:$A$156)-1,""),9)),"")</f>
        <v/>
      </c>
      <c r="E38" s="77" t="str">
        <f t="array" ref="E38">IFERROR(INDEX('Log Diário'!$E$2:$E$156,SMALL(IF(('Log Diário'!$B$2:$B$156="Edigar Barreto")*('Log Diário'!$A$2:$A$156=Painel!$B$4),ROW('Log Diário'!$A$2:$A$156)-1,""),9)),"")</f>
        <v/>
      </c>
      <c r="F38" s="120" t="str">
        <f t="array" ref="F38">IFERROR(INDEX('Log Diário'!$F$2:$F$156,SMALL(IF(('Log Diário'!$B$2:$B$156="Edigar Barreto")*('Log Diário'!$A$2:$A$156=Painel!$B$4),ROW('Log Diário'!$A$2:$A$156)-1,""),9)),"")</f>
        <v/>
      </c>
      <c r="G38" s="120"/>
      <c r="H38" s="120"/>
      <c r="I38" s="120"/>
      <c r="J38" s="120"/>
      <c r="K38" s="121" t="str">
        <f t="array" ref="K38">IFERROR(INDEX('Log Diário'!$I$2:$I$156,SMALL(IF(('Log Diário'!$B$2:$B$156="Edigar Barreto")*('Log Diário'!$A$2:$A$156=Painel!$B$4),ROW('Log Diário'!$A$2:$A$156)-1,""),9)),"")</f>
        <v/>
      </c>
      <c r="L38" s="121"/>
      <c r="M38" s="120" t="str">
        <f t="array" ref="M38">IFERROR(INDEX('Log Diário'!$K$2:$K$156,SMALL(IF(('Log Diário'!$B$2:$B$156="Edigar Barreto")*('Log Diário'!$A$2:$A$156=Painel!$B$4),ROW('Log Diário'!$A$2:$A$156)-1,""),9)),"")&amp;""</f>
        <v/>
      </c>
      <c r="N38" s="120"/>
      <c r="O38" s="120"/>
      <c r="P38" s="120"/>
      <c r="Q38" s="120"/>
      <c r="R38" s="120"/>
      <c r="S38" s="77"/>
    </row>
    <row r="39" spans="1:19" ht="3" customHeight="1" x14ac:dyDescent="0.25">
      <c r="A39" s="77"/>
      <c r="B39" s="77"/>
      <c r="C39" s="77" t="str">
        <f t="array" ref="C39">IFERROR(INDEX('Log Diário'!$C$2:$C$156,SMALL(IF(('Log Diário'!$B$2:$B$156="Edigar Barreto")*('Log Diário'!$A$2:$A$156=Painel!$B$4),ROW('Log Diário'!$A$2:$A$156)-1,""),10)),"")</f>
        <v/>
      </c>
      <c r="D39" s="77" t="str">
        <f t="array" ref="D39">IFERROR(INDEX('Log Diário'!$D$2:$D$156,SMALL(IF(('Log Diário'!$B$2:$B$156="Edigar Barreto")*('Log Diário'!$A$2:$A$156=Painel!$B$4),ROW('Log Diário'!$A$2:$A$156)-1,""),10)),"")</f>
        <v/>
      </c>
      <c r="E39" s="77" t="str">
        <f t="array" ref="E39">IFERROR(INDEX('Log Diário'!$E$2:$E$156,SMALL(IF(('Log Diário'!$B$2:$B$156="Edigar Barreto")*('Log Diário'!$A$2:$A$156=Painel!$B$4),ROW('Log Diário'!$A$2:$A$156)-1,""),10)),"")</f>
        <v/>
      </c>
      <c r="F39" s="120" t="str">
        <f t="array" ref="F39">IFERROR(INDEX('Log Diário'!$F$2:$F$156,SMALL(IF(('Log Diário'!$B$2:$B$156="Edigar Barreto")*('Log Diário'!$A$2:$A$156=Painel!$B$4),ROW('Log Diário'!$A$2:$A$156)-1,""),10)),"")</f>
        <v/>
      </c>
      <c r="G39" s="120"/>
      <c r="H39" s="120"/>
      <c r="I39" s="120"/>
      <c r="J39" s="120"/>
      <c r="K39" s="121" t="str">
        <f t="array" ref="K39">IFERROR(INDEX('Log Diário'!$I$2:$I$156,SMALL(IF(('Log Diário'!$B$2:$B$156="Edigar Barreto")*('Log Diário'!$A$2:$A$156=Painel!$B$4),ROW('Log Diário'!$A$2:$A$156)-1,""),10)),"")</f>
        <v/>
      </c>
      <c r="L39" s="121"/>
      <c r="M39" s="120" t="str">
        <f t="array" ref="M39">IFERROR(INDEX('Log Diário'!$K$2:$K$156,SMALL(IF(('Log Diário'!$B$2:$B$156="Edigar Barreto")*('Log Diário'!$A$2:$A$156=Painel!$B$4),ROW('Log Diário'!$A$2:$A$156)-1,""),10)),"")&amp;""</f>
        <v/>
      </c>
      <c r="N39" s="120"/>
      <c r="O39" s="120"/>
      <c r="P39" s="120"/>
      <c r="Q39" s="120"/>
      <c r="R39" s="120"/>
      <c r="S39" s="77"/>
    </row>
    <row r="41" spans="1:19" ht="21.75" customHeight="1" x14ac:dyDescent="0.25">
      <c r="C41" s="122" t="str">
        <f>IF(COUNTIFS('Log Diário'!$B$2:$B$699,"Edigar Barreto",'Log Diário'!$A$2:$A$699,Painel!$B$4)=0,"⚠ Nenhuma atividade registrada para "&amp;TEXT(Painel!$B$4,"DD/MM/YYYY")&amp;" — relatório diário pendente","")</f>
        <v/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</row>
    <row r="42" spans="1:19" ht="15" customHeight="1" x14ac:dyDescent="0.25">
      <c r="C42" s="123" t="s">
        <v>503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</row>
    <row r="199" spans="3:4" ht="15" customHeight="1" x14ac:dyDescent="0.25">
      <c r="C199" s="78" t="s">
        <v>504</v>
      </c>
      <c r="D199" s="78" t="s">
        <v>505</v>
      </c>
    </row>
    <row r="200" spans="3:4" ht="15" customHeight="1" x14ac:dyDescent="0.25">
      <c r="C200" s="79" t="str">
        <f>IF(D200=0,"","Não iniciado")</f>
        <v/>
      </c>
      <c r="D200" s="79">
        <f>COUNTIFS('Log Diário'!$B$2:$B$699,"Edigar Barreto",'Log Diário'!$A$2:$A$699,Painel!$B$4,'Log Diário'!$I$2:$I$699,"Não iniciado")</f>
        <v>0</v>
      </c>
    </row>
    <row r="201" spans="3:4" ht="15" customHeight="1" x14ac:dyDescent="0.25">
      <c r="C201" s="79" t="str">
        <f>IF(D201=0,"","Em andamento")</f>
        <v/>
      </c>
      <c r="D201" s="79">
        <f>COUNTIFS('Log Diário'!$B$2:$B$699,"Edigar Barreto",'Log Diário'!$A$2:$A$699,Painel!$B$4,'Log Diário'!$I$2:$I$699,"Em andamento")</f>
        <v>0</v>
      </c>
    </row>
    <row r="202" spans="3:4" ht="15" customHeight="1" x14ac:dyDescent="0.25">
      <c r="C202" s="79" t="str">
        <f>IF(D202=0,"","Acompanhamento")</f>
        <v/>
      </c>
      <c r="D202" s="79">
        <f>COUNTIFS('Log Diário'!$B$2:$B$699,"Edigar Barreto",'Log Diário'!$A$2:$A$699,Painel!$B$4,'Log Diário'!$I$2:$I$699,"Acompanhamento")</f>
        <v>0</v>
      </c>
    </row>
    <row r="203" spans="3:4" ht="15" customHeight="1" x14ac:dyDescent="0.25">
      <c r="C203" s="79" t="str">
        <f>IF(D203=0,"","Inspecionado OK")</f>
        <v/>
      </c>
      <c r="D203" s="79">
        <f>COUNTIFS('Log Diário'!$B$2:$B$699,"Edigar Barreto",'Log Diário'!$A$2:$A$699,Painel!$B$4,'Log Diário'!$I$2:$I$699,"Inspecionado OK")</f>
        <v>0</v>
      </c>
    </row>
    <row r="204" spans="3:4" ht="15" customHeight="1" x14ac:dyDescent="0.25">
      <c r="C204" s="79" t="str">
        <f>IF(D204=0,"","Pendência")</f>
        <v/>
      </c>
      <c r="D204" s="79">
        <f>COUNTIFS('Log Diário'!$B$2:$B$699,"Edigar Barreto",'Log Diário'!$A$2:$A$699,Painel!$B$4,'Log Diário'!$I$2:$I$699,"Pendência")</f>
        <v>0</v>
      </c>
    </row>
    <row r="205" spans="3:4" ht="15" customHeight="1" x14ac:dyDescent="0.25">
      <c r="C205" s="79" t="str">
        <f>IF(D205=0,"","Reprovado")</f>
        <v/>
      </c>
      <c r="D205" s="79">
        <f>COUNTIFS('Log Diário'!$B$2:$B$699,"Edigar Barreto",'Log Diário'!$A$2:$A$699,Painel!$B$4,'Log Diário'!$I$2:$I$699,"Reprovado")</f>
        <v>0</v>
      </c>
    </row>
  </sheetData>
  <mergeCells count="52">
    <mergeCell ref="F39:J39"/>
    <mergeCell ref="K39:L39"/>
    <mergeCell ref="M39:R39"/>
    <mergeCell ref="C41:N41"/>
    <mergeCell ref="C42:N42"/>
    <mergeCell ref="F37:J37"/>
    <mergeCell ref="K37:L37"/>
    <mergeCell ref="M37:R37"/>
    <mergeCell ref="F38:J38"/>
    <mergeCell ref="K38:L38"/>
    <mergeCell ref="M38:R38"/>
    <mergeCell ref="F35:J35"/>
    <mergeCell ref="K35:L35"/>
    <mergeCell ref="M35:R35"/>
    <mergeCell ref="F36:J36"/>
    <mergeCell ref="K36:L36"/>
    <mergeCell ref="M36:R36"/>
    <mergeCell ref="F33:J33"/>
    <mergeCell ref="K33:L33"/>
    <mergeCell ref="M33:R33"/>
    <mergeCell ref="F34:J34"/>
    <mergeCell ref="K34:L34"/>
    <mergeCell ref="M34:R34"/>
    <mergeCell ref="F31:J31"/>
    <mergeCell ref="K31:L31"/>
    <mergeCell ref="M31:R31"/>
    <mergeCell ref="F32:J32"/>
    <mergeCell ref="K32:L32"/>
    <mergeCell ref="M32:R32"/>
    <mergeCell ref="F29:J29"/>
    <mergeCell ref="K29:L29"/>
    <mergeCell ref="M29:R29"/>
    <mergeCell ref="F30:J30"/>
    <mergeCell ref="K30:L30"/>
    <mergeCell ref="M30:R30"/>
    <mergeCell ref="H12:N12"/>
    <mergeCell ref="H13:N14"/>
    <mergeCell ref="H15:N15"/>
    <mergeCell ref="H16:N17"/>
    <mergeCell ref="C28:N28"/>
    <mergeCell ref="C6:F8"/>
    <mergeCell ref="G6:J8"/>
    <mergeCell ref="K6:N8"/>
    <mergeCell ref="C9:N9"/>
    <mergeCell ref="C10:N10"/>
    <mergeCell ref="C1:N1"/>
    <mergeCell ref="C2:N2"/>
    <mergeCell ref="C3:L3"/>
    <mergeCell ref="M3:N3"/>
    <mergeCell ref="C5:F5"/>
    <mergeCell ref="G5:J5"/>
    <mergeCell ref="K5:N5"/>
  </mergeCells>
  <conditionalFormatting sqref="A30:R39">
    <cfRule type="expression" dxfId="59" priority="23">
      <formula>$C30=""</formula>
    </cfRule>
  </conditionalFormatting>
  <conditionalFormatting sqref="K30:L39">
    <cfRule type="cellIs" dxfId="58" priority="2" operator="equal">
      <formula>"Não iniciado"</formula>
    </cfRule>
    <cfRule type="cellIs" dxfId="57" priority="3" operator="equal">
      <formula>"Em andamento"</formula>
    </cfRule>
    <cfRule type="cellIs" dxfId="56" priority="4" operator="equal">
      <formula>"Acompanhamento"</formula>
    </cfRule>
    <cfRule type="cellIs" dxfId="55" priority="5" operator="equal">
      <formula>"Inspecionado OK"</formula>
    </cfRule>
    <cfRule type="cellIs" dxfId="54" priority="6" operator="equal">
      <formula>"Pendência"</formula>
    </cfRule>
    <cfRule type="cellIs" dxfId="53" priority="7" operator="equal">
      <formula>"Reprovado"</formula>
    </cfRule>
    <cfRule type="cellIs" dxfId="52" priority="11" operator="equal">
      <formula>"Finalizado"</formula>
    </cfRule>
    <cfRule type="cellIs" dxfId="51" priority="12" operator="equal">
      <formula>"Aprovado"</formula>
    </cfRule>
    <cfRule type="cellIs" dxfId="50" priority="15" operator="equal">
      <formula>"Não finalizado"</formula>
    </cfRule>
    <cfRule type="cellIs" dxfId="49" priority="16" operator="equal">
      <formula>"Reprovado parcial"</formula>
    </cfRule>
    <cfRule type="cellIs" dxfId="48" priority="17" operator="equal">
      <formula>"Recebido"</formula>
    </cfRule>
    <cfRule type="cellIs" dxfId="47" priority="18" operator="equal">
      <formula>"Recebido parcial"</formula>
    </cfRule>
    <cfRule type="cellIs" dxfId="46" priority="19" operator="equal">
      <formula>"Inspecionado"</formula>
    </cfRule>
  </conditionalFormatting>
  <conditionalFormatting sqref="M30:R39">
    <cfRule type="expression" dxfId="45" priority="20">
      <formula>NOT(ISERROR(SEARCH("CHECK-IN",M30)))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205"/>
  <sheetViews>
    <sheetView showGridLines="0" zoomScaleNormal="100" workbookViewId="0"/>
  </sheetViews>
  <sheetFormatPr defaultColWidth="8.7109375" defaultRowHeight="15" x14ac:dyDescent="0.25"/>
  <cols>
    <col min="1" max="2" width="3" customWidth="1"/>
    <col min="3" max="14" width="11" customWidth="1"/>
    <col min="15" max="18" width="14" customWidth="1"/>
  </cols>
  <sheetData>
    <row r="1" spans="3:14" ht="36" customHeight="1" x14ac:dyDescent="0.25">
      <c r="C1" s="141" t="s">
        <v>512</v>
      </c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3:14" ht="21.75" customHeight="1" x14ac:dyDescent="0.25">
      <c r="C2" s="106" t="s">
        <v>513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3:14" ht="21.75" customHeight="1" x14ac:dyDescent="0.25">
      <c r="C3" s="107" t="s">
        <v>497</v>
      </c>
      <c r="D3" s="107"/>
      <c r="E3" s="107"/>
      <c r="F3" s="107"/>
      <c r="G3" s="107"/>
      <c r="H3" s="107"/>
      <c r="I3" s="107"/>
      <c r="J3" s="107"/>
      <c r="K3" s="107"/>
      <c r="L3" s="107"/>
      <c r="M3" s="108">
        <f>Painel!$B$4</f>
        <v>46203</v>
      </c>
      <c r="N3" s="108"/>
    </row>
    <row r="4" spans="3:14" ht="6" customHeight="1" x14ac:dyDescent="0.25"/>
    <row r="5" spans="3:14" ht="19.5" customHeight="1" x14ac:dyDescent="0.25">
      <c r="C5" s="142" t="s">
        <v>8</v>
      </c>
      <c r="D5" s="142"/>
      <c r="E5" s="142"/>
      <c r="F5" s="142"/>
      <c r="G5" s="109" t="s">
        <v>498</v>
      </c>
      <c r="H5" s="109"/>
      <c r="I5" s="109"/>
      <c r="J5" s="109"/>
      <c r="K5" s="110" t="s">
        <v>499</v>
      </c>
      <c r="L5" s="110"/>
      <c r="M5" s="110"/>
      <c r="N5" s="110"/>
    </row>
    <row r="6" spans="3:14" ht="18" customHeight="1" x14ac:dyDescent="0.25">
      <c r="C6" s="143">
        <f>COUNTIFS('Log Diário'!$B$2:$B$699,"Charles Johnson",'Log Diário'!$A$2:$A$699,Painel!$B$4)</f>
        <v>2</v>
      </c>
      <c r="D6" s="143"/>
      <c r="E6" s="143"/>
      <c r="F6" s="143"/>
      <c r="G6" s="111">
        <f>COUNTIFS('Log Diário'!$B$2:$B$699,"Charles Johnson",'Log Diário'!$A$2:$A$699,Painel!$B$4,'Log Diário'!$I$2:$I$699,"Em andamento")+COUNTIFS('Log Diário'!$B$2:$B$699,"Charles Johnson",'Log Diário'!$A$2:$A$699,Painel!$B$4,'Log Diário'!$I$2:$I$699,"Acompanhamento")</f>
        <v>0</v>
      </c>
      <c r="H6" s="111"/>
      <c r="I6" s="111"/>
      <c r="J6" s="111"/>
      <c r="K6" s="112">
        <f>COUNTIFS('Log Diário'!$B$2:$B$699,"Charles Johnson",'Log Diário'!$A$2:$A$699,Painel!$B$4,'Log Diário'!$I$2:$I$699,"Pendência")+COUNTIFS('Log Diário'!$B$2:$B$699,"Charles Johnson",'Log Diário'!$A$2:$A$699,Painel!$B$4,'Log Diário'!$I$2:$I$699,"Reprovado")</f>
        <v>0</v>
      </c>
      <c r="L6" s="112"/>
      <c r="M6" s="112"/>
      <c r="N6" s="112"/>
    </row>
    <row r="7" spans="3:14" ht="18" customHeight="1" x14ac:dyDescent="0.25">
      <c r="C7" s="143"/>
      <c r="D7" s="143"/>
      <c r="E7" s="143"/>
      <c r="F7" s="143"/>
      <c r="G7" s="111"/>
      <c r="H7" s="111"/>
      <c r="I7" s="111"/>
      <c r="J7" s="111"/>
      <c r="K7" s="112"/>
      <c r="L7" s="112"/>
      <c r="M7" s="112"/>
      <c r="N7" s="112"/>
    </row>
    <row r="8" spans="3:14" ht="18" customHeight="1" x14ac:dyDescent="0.25">
      <c r="C8" s="143"/>
      <c r="D8" s="143"/>
      <c r="E8" s="143"/>
      <c r="F8" s="143"/>
      <c r="G8" s="111"/>
      <c r="H8" s="111"/>
      <c r="I8" s="111"/>
      <c r="J8" s="111"/>
      <c r="K8" s="112"/>
      <c r="L8" s="112"/>
      <c r="M8" s="112"/>
      <c r="N8" s="112"/>
    </row>
    <row r="9" spans="3:14" ht="6" customHeight="1" x14ac:dyDescent="0.25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3:14" ht="19.5" customHeight="1" x14ac:dyDescent="0.25">
      <c r="C10" s="114" t="str">
        <f>"📈 Total de atividades registradas em "&amp;INDEX({"janeiro";"fevereiro";"março";"abril";"maio";"junho";"julho";"agosto";"setembro";"outubro";"novembro";"dezembro"},MONTH(Painel!$B$4))&amp;"/"&amp;YEAR(Painel!$B$4)&amp;": "&amp;COUNTIFS('Log Diário'!$B$2:$B$699,"Charles Johnson",'Log Diário'!$A$2:$A$699,"&gt;"&amp;DATE(YEAR(Painel!$B$4),MONTH(Painel!$B$4),1),'Log Diário'!$A$2:$A$699,"&lt;"&amp;DATE(YEAR(Painel!$B$4),MONTH(Painel!$B$4)+1,1))&amp;" atividades"</f>
        <v>📈 Total de atividades registradas em junho/2026: 19 atividades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3:14" ht="7.5" customHeight="1" x14ac:dyDescent="0.25"/>
    <row r="12" spans="3:14" ht="19.5" customHeight="1" x14ac:dyDescent="0.25">
      <c r="H12" s="115" t="s">
        <v>500</v>
      </c>
      <c r="I12" s="115"/>
      <c r="J12" s="115"/>
      <c r="K12" s="115"/>
      <c r="L12" s="115"/>
      <c r="M12" s="115"/>
      <c r="N12" s="115"/>
    </row>
    <row r="13" spans="3:14" ht="15" customHeight="1" x14ac:dyDescent="0.25">
      <c r="H13" s="144" t="str">
        <f>TRIM(IF(COUNTIFS('Log Diário'!$B$2:$B$699,"Charles Johnson",'Log Diário'!$A$2:$A$699,Painel!$B$4,'Log Diário'!$C$2:$C$699,"ELE")&gt;0,"ELE  ","")&amp;IF(COUNTIFS('Log Diário'!$B$2:$B$699,"Charles Johnson",'Log Diário'!$A$2:$A$699,Painel!$B$4,'Log Diário'!$C$2:$C$699,"TUB")&gt;0,"TUB  ","")&amp;IF(COUNTIFS('Log Diário'!$B$2:$B$699,"Charles Johnson",'Log Diário'!$A$2:$A$699,Painel!$B$4,'Log Diário'!$C$2:$C$699,"MEC")&gt;0,"MEC  ","")&amp;IF(COUNTIFS('Log Diário'!$B$2:$B$699,"Charles Johnson",'Log Diário'!$A$2:$A$699,Painel!$B$4,'Log Diário'!$C$2:$C$699,"SOLDA")&gt;0,"SOLDA  ","")&amp;IF(COUNTIFS('Log Diário'!$B$2:$B$699,"Charles Johnson",'Log Diário'!$A$2:$A$699,Painel!$B$4,'Log Diário'!$C$2:$C$699,"AND")&gt;0,"AND  ","")&amp;IF(COUNTIFS('Log Diário'!$B$2:$B$699,"Charles Johnson",'Log Diário'!$A$2:$A$699,Painel!$B$4,'Log Diário'!$C$2:$C$699,"ADM")&gt;0,"ADM  ",""))</f>
        <v/>
      </c>
      <c r="I13" s="144"/>
      <c r="J13" s="144"/>
      <c r="K13" s="144"/>
      <c r="L13" s="144"/>
      <c r="M13" s="144"/>
      <c r="N13" s="144"/>
    </row>
    <row r="14" spans="3:14" ht="15" customHeight="1" x14ac:dyDescent="0.25">
      <c r="H14" s="144"/>
      <c r="I14" s="144"/>
      <c r="J14" s="144"/>
      <c r="K14" s="144"/>
      <c r="L14" s="144"/>
      <c r="M14" s="144"/>
      <c r="N14" s="144"/>
    </row>
    <row r="15" spans="3:14" ht="19.5" customHeight="1" x14ac:dyDescent="0.25">
      <c r="H15" s="115" t="s">
        <v>501</v>
      </c>
      <c r="I15" s="115"/>
      <c r="J15" s="115"/>
      <c r="K15" s="115"/>
      <c r="L15" s="115"/>
      <c r="M15" s="115"/>
      <c r="N15" s="115"/>
    </row>
    <row r="16" spans="3:14" ht="15" customHeight="1" x14ac:dyDescent="0.25">
      <c r="H16" s="145" t="str">
        <f t="array" ref="H16">IF(RIGHT(IFERROR(INDEX('Log Diário'!$D$2:$D$699,SMALL(IF(('Log Diário'!$B$2:$B$699="Charles Johnson")*('Log Diário'!$A$2:$A$699=Painel!$B$4),ROW('Log Diário'!$A$2:$A$699)-1,""),1))&amp;"   |   ","")&amp;IFERROR(INDEX('Log Diário'!$D$2:$D$699,SMALL(IF(('Log Diário'!$B$2:$B$699="Charles Johnson")*('Log Diário'!$A$2:$A$699=Painel!$B$4),ROW('Log Diário'!$A$2:$A$699)-1,""),2))&amp;"   |   ","")&amp;IFERROR(INDEX('Log Diário'!$D$2:$D$699,SMALL(IF(('Log Diário'!$B$2:$B$699="Charles Johnson")*('Log Diário'!$A$2:$A$699=Painel!$B$4),ROW('Log Diário'!$A$2:$A$699)-1,""),3))&amp;"   |   ","")&amp;IFERROR(INDEX('Log Diário'!$D$2:$D$699,SMALL(IF(('Log Diário'!$B$2:$B$699="Charles Johnson")*('Log Diário'!$A$2:$A$699=Painel!$B$4),ROW('Log Diário'!$A$2:$A$699)-1,""),4))&amp;"   |   ","")&amp;IFERROR(INDEX('Log Diário'!$D$2:$D$699,SMALL(IF(('Log Diário'!$B$2:$B$699="Charles Johnson")*('Log Diário'!$A$2:$A$699=Painel!$B$4),ROW('Log Diário'!$A$2:$A$699)-1,""),5))&amp;"   |   ","")&amp;IFERROR(INDEX('Log Diário'!$D$2:$D$699,SMALL(IF(('Log Diário'!$B$2:$B$699="Charles Johnson")*('Log Diário'!$A$2:$A$699=Painel!$B$4),ROW('Log Diário'!$A$2:$A$699)-1,""),6))&amp;"   |   ",""),7)="   |   ",LEFT(IFERROR(INDEX('Log Diário'!$D$2:$D$699,SMALL(IF(('Log Diário'!$B$2:$B$699="Charles Johnson")*('Log Diário'!$A$2:$A$699=Painel!$B$4),ROW('Log Diário'!$A$2:$A$699)-1,""),1))&amp;"   |   ","")&amp;IFERROR(INDEX('Log Diário'!$D$2:$D$699,SMALL(IF(('Log Diário'!$B$2:$B$699="Charles Johnson")*('Log Diário'!$A$2:$A$699=Painel!$B$4),ROW('Log Diário'!$A$2:$A$699)-1,""),2))&amp;"   |   ","")&amp;IFERROR(INDEX('Log Diário'!$D$2:$D$699,SMALL(IF(('Log Diário'!$B$2:$B$699="Charles Johnson")*('Log Diário'!$A$2:$A$699=Painel!$B$4),ROW('Log Diário'!$A$2:$A$699)-1,""),3))&amp;"   |   ","")&amp;IFERROR(INDEX('Log Diário'!$D$2:$D$699,SMALL(IF(('Log Diário'!$B$2:$B$699="Charles Johnson")*('Log Diário'!$A$2:$A$699=Painel!$B$4),ROW('Log Diário'!$A$2:$A$699)-1,""),4))&amp;"   |   ","")&amp;IFERROR(INDEX('Log Diário'!$D$2:$D$699,SMALL(IF(('Log Diário'!$B$2:$B$699="Charles Johnson")*('Log Diário'!$A$2:$A$699=Painel!$B$4),ROW('Log Diário'!$A$2:$A$699)-1,""),5))&amp;"   |   ","")&amp;IFERROR(INDEX('Log Diário'!$D$2:$D$699,SMALL(IF(('Log Diário'!$B$2:$B$699="Charles Johnson")*('Log Diário'!$A$2:$A$699=Painel!$B$4),ROW('Log Diário'!$A$2:$A$699)-1,""),6))&amp;"   |   ",""),LEN(IFERROR(INDEX('Log Diário'!$D$2:$D$699,SMALL(IF(('Log Diário'!$B$2:$B$699="Charles Johnson")*('Log Diário'!$A$2:$A$699=Painel!$B$4),ROW('Log Diário'!$A$2:$A$699)-1,""),1))&amp;"   |   ","")&amp;IFERROR(INDEX('Log Diário'!$D$2:$D$699,SMALL(IF(('Log Diário'!$B$2:$B$699="Charles Johnson")*('Log Diário'!$A$2:$A$699=Painel!$B$4),ROW('Log Diário'!$A$2:$A$699)-1,""),2))&amp;"   |   ","")&amp;IFERROR(INDEX('Log Diário'!$D$2:$D$699,SMALL(IF(('Log Diário'!$B$2:$B$699="Charles Johnson")*('Log Diário'!$A$2:$A$699=Painel!$B$4),ROW('Log Diário'!$A$2:$A$699)-1,""),3))&amp;"   |   ","")&amp;IFERROR(INDEX('Log Diário'!$D$2:$D$699,SMALL(IF(('Log Diário'!$B$2:$B$699="Charles Johnson")*('Log Diário'!$A$2:$A$699=Painel!$B$4),ROW('Log Diário'!$A$2:$A$699)-1,""),4))&amp;"   |   ","")&amp;IFERROR(INDEX('Log Diário'!$D$2:$D$699,SMALL(IF(('Log Diário'!$B$2:$B$699="Charles Johnson")*('Log Diário'!$A$2:$A$699=Painel!$B$4),ROW('Log Diário'!$A$2:$A$699)-1,""),5))&amp;"   |   ","")&amp;IFERROR(INDEX('Log Diário'!$D$2:$D$699,SMALL(IF(('Log Diário'!$B$2:$B$699="Charles Johnson")*('Log Diário'!$A$2:$A$699=Painel!$B$4),ROW('Log Diário'!$A$2:$A$699)-1,""),6))&amp;"   |   ",""))-7),IFERROR(INDEX('Log Diário'!$D$2:$D$699,SMALL(IF(('Log Diário'!$B$2:$B$699="Charles Johnson")*('Log Diário'!$A$2:$A$699=Painel!$B$4),ROW('Log Diário'!$A$2:$A$699)-1,""),1))&amp;"   |   ","")&amp;IFERROR(INDEX('Log Diário'!$D$2:$D$699,SMALL(IF(('Log Diário'!$B$2:$B$699="Charles Johnson")*('Log Diário'!$A$2:$A$699=Painel!$B$4),ROW('Log Diário'!$A$2:$A$699)-1,""),2))&amp;"   |   ","")&amp;IFERROR(INDEX('Log Diário'!$D$2:$D$699,SMALL(IF(('Log Diário'!$B$2:$B$699="Charles Johnson")*('Log Diário'!$A$2:$A$699=Painel!$B$4),ROW('Log Diário'!$A$2:$A$699)-1,""),3))&amp;"   |   ","")&amp;IFERROR(INDEX('Log Diário'!$D$2:$D$699,SMALL(IF(('Log Diário'!$B$2:$B$699="Charles Johnson")*('Log Diário'!$A$2:$A$699=Painel!$B$4),ROW('Log Diário'!$A$2:$A$699)-1,""),4))&amp;"   |   ","")&amp;IFERROR(INDEX('Log Diário'!$D$2:$D$699,SMALL(IF(('Log Diário'!$B$2:$B$699="Charles Johnson")*('Log Diário'!$A$2:$A$699=Painel!$B$4),ROW('Log Diário'!$A$2:$A$699)-1,""),5))&amp;"   |   ","")&amp;IFERROR(INDEX('Log Diário'!$D$2:$D$699,SMALL(IF(('Log Diário'!$B$2:$B$699="Charles Johnson")*('Log Diário'!$A$2:$A$699=Painel!$B$4),ROW('Log Diário'!$A$2:$A$699)-1,""),6))&amp;"   |   ",""))</f>
        <v>Pátio KM-180   |   Pátio KM-188</v>
      </c>
      <c r="I16" s="145"/>
      <c r="J16" s="145"/>
      <c r="K16" s="145"/>
      <c r="L16" s="145"/>
      <c r="M16" s="145"/>
      <c r="N16" s="145"/>
    </row>
    <row r="17" spans="1:19" ht="15" customHeight="1" x14ac:dyDescent="0.25">
      <c r="H17" s="145"/>
      <c r="I17" s="145"/>
      <c r="J17" s="145"/>
      <c r="K17" s="145"/>
      <c r="L17" s="145"/>
      <c r="M17" s="145"/>
      <c r="N17" s="145"/>
    </row>
    <row r="18" spans="1:19" ht="13.5" customHeight="1" x14ac:dyDescent="0.25"/>
    <row r="19" spans="1:19" ht="13.5" customHeight="1" x14ac:dyDescent="0.25"/>
    <row r="20" spans="1:19" ht="13.5" customHeight="1" x14ac:dyDescent="0.25"/>
    <row r="21" spans="1:19" ht="13.5" customHeight="1" x14ac:dyDescent="0.25"/>
    <row r="22" spans="1:19" ht="13.5" customHeight="1" x14ac:dyDescent="0.25"/>
    <row r="23" spans="1:19" ht="13.5" customHeight="1" x14ac:dyDescent="0.25"/>
    <row r="24" spans="1:19" ht="13.5" customHeight="1" x14ac:dyDescent="0.25"/>
    <row r="25" spans="1:19" ht="13.5" customHeight="1" x14ac:dyDescent="0.25"/>
    <row r="26" spans="1:19" ht="13.5" customHeight="1" x14ac:dyDescent="0.25"/>
    <row r="28" spans="1:19" ht="24" customHeight="1" x14ac:dyDescent="0.25">
      <c r="C28" s="90" t="str">
        <f>"🗓️ ATIVIDADES DE HOJE — "&amp;TEXT(Painel!$B$4,"DD/MM/YYYY")</f>
        <v>🗓️ ATIVIDADES DE HOJE — 30/06/YYYY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</row>
    <row r="29" spans="1:19" ht="19.5" customHeight="1" x14ac:dyDescent="0.25">
      <c r="C29" s="62" t="s">
        <v>20</v>
      </c>
      <c r="D29" s="62" t="s">
        <v>21</v>
      </c>
      <c r="E29" s="62" t="s">
        <v>22</v>
      </c>
      <c r="F29" s="118" t="s">
        <v>23</v>
      </c>
      <c r="G29" s="118"/>
      <c r="H29" s="118"/>
      <c r="I29" s="118"/>
      <c r="J29" s="118"/>
      <c r="K29" s="118" t="s">
        <v>24</v>
      </c>
      <c r="L29" s="118"/>
      <c r="M29" s="119" t="s">
        <v>502</v>
      </c>
      <c r="N29" s="119"/>
      <c r="O29" s="119"/>
      <c r="P29" s="119"/>
      <c r="Q29" s="119"/>
      <c r="R29" s="119"/>
    </row>
    <row r="30" spans="1:19" ht="27.75" customHeight="1" x14ac:dyDescent="0.25">
      <c r="A30" s="77"/>
      <c r="B30" s="77"/>
      <c r="C30" s="77" t="str">
        <f t="array" ref="C30">IFERROR(INDEX('Log Diário'!$C$2:$C$156,SMALL(IF(('Log Diário'!$B$2:$B$156="Charles Johnson")*('Log Diário'!$A$2:$A$156=Painel!$B$4),ROW('Log Diário'!$A$2:$A$156)-1,""),1)),"")</f>
        <v>MAT</v>
      </c>
      <c r="D30" s="77" t="str">
        <f t="array" ref="D30">IFERROR(INDEX('Log Diário'!$D$2:$D$156,SMALL(IF(('Log Diário'!$B$2:$B$156="Charles Johnson")*('Log Diário'!$A$2:$A$156=Painel!$B$4),ROW('Log Diário'!$A$2:$A$156)-1,""),1)),"")</f>
        <v>Pátio KM-180</v>
      </c>
      <c r="E30" s="77" t="str">
        <f t="array" ref="E30">IFERROR(INDEX('Log Diário'!$E$2:$E$156,SMALL(IF(('Log Diário'!$B$2:$B$156="Charles Johnson")*('Log Diário'!$A$2:$A$156=Painel!$B$4),ROW('Log Diário'!$A$2:$A$156)-1,""),1)),"")</f>
        <v>Arlem</v>
      </c>
      <c r="F30" s="120" t="str">
        <f t="array" ref="F30">IFERROR(INDEX('Log Diário'!$F$2:$F$156,SMALL(IF(('Log Diário'!$B$2:$B$156="Charles Johnson")*('Log Diário'!$A$2:$A$156=Painel!$B$4),ROW('Log Diário'!$A$2:$A$156)-1,""),1)),"")</f>
        <v>Recebimento de pré moldados</v>
      </c>
      <c r="G30" s="120"/>
      <c r="H30" s="120"/>
      <c r="I30" s="120"/>
      <c r="J30" s="120"/>
      <c r="K30" s="121" t="str">
        <f t="array" ref="K30">IFERROR(INDEX('Log Diário'!$I$2:$I$156,SMALL(IF(('Log Diário'!$B$2:$B$156="Charles Johnson")*('Log Diário'!$A$2:$A$156=Painel!$B$4),ROW('Log Diário'!$A$2:$A$156)-1,""),1)),"")</f>
        <v>Aprovado</v>
      </c>
      <c r="L30" s="121"/>
      <c r="M30" s="120" t="str">
        <f t="array" ref="M30">IFERROR(INDEX('Log Diário'!$K$2:$K$156,SMALL(IF(('Log Diário'!$B$2:$B$156="Charles Johnson")*('Log Diário'!$A$2:$A$156=Painel!$B$4),ROW('Log Diário'!$A$2:$A$156)-1,""),1)),"")&amp;""</f>
        <v/>
      </c>
      <c r="N30" s="120"/>
      <c r="O30" s="120"/>
      <c r="P30" s="120"/>
      <c r="Q30" s="120"/>
      <c r="R30" s="120"/>
      <c r="S30" s="77"/>
    </row>
    <row r="31" spans="1:19" ht="27.75" customHeight="1" x14ac:dyDescent="0.25">
      <c r="A31" s="77"/>
      <c r="B31" s="77"/>
      <c r="C31" s="77" t="str">
        <f t="array" ref="C31">IFERROR(INDEX('Log Diário'!$C$2:$C$156,SMALL(IF(('Log Diário'!$B$2:$B$156="Charles Johnson")*('Log Diário'!$A$2:$A$156=Painel!$B$4),ROW('Log Diário'!$A$2:$A$156)-1,""),2)),"")</f>
        <v>MAT</v>
      </c>
      <c r="D31" s="77" t="str">
        <f t="array" ref="D31">IFERROR(INDEX('Log Diário'!$D$2:$D$156,SMALL(IF(('Log Diário'!$B$2:$B$156="Charles Johnson")*('Log Diário'!$A$2:$A$156=Painel!$B$4),ROW('Log Diário'!$A$2:$A$156)-1,""),2)),"")</f>
        <v>Pátio KM-188</v>
      </c>
      <c r="E31" s="77" t="str">
        <f t="array" ref="E31">IFERROR(INDEX('Log Diário'!$E$2:$E$156,SMALL(IF(('Log Diário'!$B$2:$B$156="Charles Johnson")*('Log Diário'!$A$2:$A$156=Painel!$B$4),ROW('Log Diário'!$A$2:$A$156)-1,""),2)),"")</f>
        <v>Arlem</v>
      </c>
      <c r="F31" s="120" t="str">
        <f t="array" ref="F31">IFERROR(INDEX('Log Diário'!$F$2:$F$156,SMALL(IF(('Log Diário'!$B$2:$B$156="Charles Johnson")*('Log Diário'!$A$2:$A$156=Painel!$B$4),ROW('Log Diário'!$A$2:$A$156)-1,""),2)),"")</f>
        <v>Acompanhamento de carregamento das peças das caixas 03 e 04</v>
      </c>
      <c r="G31" s="120"/>
      <c r="H31" s="120"/>
      <c r="I31" s="120"/>
      <c r="J31" s="120"/>
      <c r="K31" s="121" t="str">
        <f t="array" ref="K31">IFERROR(INDEX('Log Diário'!$I$2:$I$156,SMALL(IF(('Log Diário'!$B$2:$B$156="Charles Johnson")*('Log Diário'!$A$2:$A$156=Painel!$B$4),ROW('Log Diário'!$A$2:$A$156)-1,""),2)),"")</f>
        <v>Aprovado com observação</v>
      </c>
      <c r="L31" s="121"/>
      <c r="M31" s="120" t="str">
        <f t="array" ref="M31">IFERROR(INDEX('Log Diário'!$K$2:$K$156,SMALL(IF(('Log Diário'!$B$2:$B$156="Charles Johnson")*('Log Diário'!$A$2:$A$156=Painel!$B$4),ROW('Log Diário'!$A$2:$A$156)-1,""),2)),"")&amp;""</f>
        <v>⚠️ POSSÍVEL ASSUNTO CHECK-IN: Pontos de observação e dano na pintura</v>
      </c>
      <c r="N31" s="120"/>
      <c r="O31" s="120"/>
      <c r="P31" s="120"/>
      <c r="Q31" s="120"/>
      <c r="R31" s="120"/>
      <c r="S31" s="77"/>
    </row>
    <row r="32" spans="1:19" ht="3" customHeight="1" x14ac:dyDescent="0.25">
      <c r="A32" s="77"/>
      <c r="B32" s="77"/>
      <c r="C32" s="77" t="str">
        <f t="array" ref="C32">IFERROR(INDEX('Log Diário'!$C$2:$C$156,SMALL(IF(('Log Diário'!$B$2:$B$156="Charles Johnson")*('Log Diário'!$A$2:$A$156=Painel!$B$4),ROW('Log Diário'!$A$2:$A$156)-1,""),3)),"")</f>
        <v/>
      </c>
      <c r="D32" s="77" t="str">
        <f t="array" ref="D32">IFERROR(INDEX('Log Diário'!$D$2:$D$156,SMALL(IF(('Log Diário'!$B$2:$B$156="Charles Johnson")*('Log Diário'!$A$2:$A$156=Painel!$B$4),ROW('Log Diário'!$A$2:$A$156)-1,""),3)),"")</f>
        <v/>
      </c>
      <c r="E32" s="77" t="str">
        <f t="array" ref="E32">IFERROR(INDEX('Log Diário'!$E$2:$E$156,SMALL(IF(('Log Diário'!$B$2:$B$156="Charles Johnson")*('Log Diário'!$A$2:$A$156=Painel!$B$4),ROW('Log Diário'!$A$2:$A$156)-1,""),3)),"")</f>
        <v/>
      </c>
      <c r="F32" s="120" t="str">
        <f t="array" ref="F32">IFERROR(INDEX('Log Diário'!$F$2:$F$156,SMALL(IF(('Log Diário'!$B$2:$B$156="Charles Johnson")*('Log Diário'!$A$2:$A$156=Painel!$B$4),ROW('Log Diário'!$A$2:$A$156)-1,""),3)),"")</f>
        <v/>
      </c>
      <c r="G32" s="120"/>
      <c r="H32" s="120"/>
      <c r="I32" s="120"/>
      <c r="J32" s="120"/>
      <c r="K32" s="121" t="str">
        <f t="array" ref="K32">IFERROR(INDEX('Log Diário'!$I$2:$I$156,SMALL(IF(('Log Diário'!$B$2:$B$156="Charles Johnson")*('Log Diário'!$A$2:$A$156=Painel!$B$4),ROW('Log Diário'!$A$2:$A$156)-1,""),3)),"")</f>
        <v/>
      </c>
      <c r="L32" s="121"/>
      <c r="M32" s="120" t="str">
        <f t="array" ref="M32">IFERROR(INDEX('Log Diário'!$K$2:$K$156,SMALL(IF(('Log Diário'!$B$2:$B$156="Charles Johnson")*('Log Diário'!$A$2:$A$156=Painel!$B$4),ROW('Log Diário'!$A$2:$A$156)-1,""),3)),"")&amp;""</f>
        <v/>
      </c>
      <c r="N32" s="120"/>
      <c r="O32" s="120"/>
      <c r="P32" s="120"/>
      <c r="Q32" s="120"/>
      <c r="R32" s="120"/>
      <c r="S32" s="77"/>
    </row>
    <row r="33" spans="1:19" ht="3" customHeight="1" x14ac:dyDescent="0.25">
      <c r="A33" s="77"/>
      <c r="B33" s="77"/>
      <c r="C33" s="77" t="str">
        <f t="array" ref="C33">IFERROR(INDEX('Log Diário'!$C$2:$C$156,SMALL(IF(('Log Diário'!$B$2:$B$156="Charles Johnson")*('Log Diário'!$A$2:$A$156=Painel!$B$4),ROW('Log Diário'!$A$2:$A$156)-1,""),4)),"")</f>
        <v/>
      </c>
      <c r="D33" s="77" t="str">
        <f t="array" ref="D33">IFERROR(INDEX('Log Diário'!$D$2:$D$156,SMALL(IF(('Log Diário'!$B$2:$B$156="Charles Johnson")*('Log Diário'!$A$2:$A$156=Painel!$B$4),ROW('Log Diário'!$A$2:$A$156)-1,""),4)),"")</f>
        <v/>
      </c>
      <c r="E33" s="77" t="str">
        <f t="array" ref="E33">IFERROR(INDEX('Log Diário'!$E$2:$E$156,SMALL(IF(('Log Diário'!$B$2:$B$156="Charles Johnson")*('Log Diário'!$A$2:$A$156=Painel!$B$4),ROW('Log Diário'!$A$2:$A$156)-1,""),4)),"")</f>
        <v/>
      </c>
      <c r="F33" s="120" t="str">
        <f t="array" ref="F33">IFERROR(INDEX('Log Diário'!$F$2:$F$156,SMALL(IF(('Log Diário'!$B$2:$B$156="Charles Johnson")*('Log Diário'!$A$2:$A$156=Painel!$B$4),ROW('Log Diário'!$A$2:$A$156)-1,""),4)),"")</f>
        <v/>
      </c>
      <c r="G33" s="120"/>
      <c r="H33" s="120"/>
      <c r="I33" s="120"/>
      <c r="J33" s="120"/>
      <c r="K33" s="121" t="str">
        <f t="array" ref="K33">IFERROR(INDEX('Log Diário'!$I$2:$I$156,SMALL(IF(('Log Diário'!$B$2:$B$156="Charles Johnson")*('Log Diário'!$A$2:$A$156=Painel!$B$4),ROW('Log Diário'!$A$2:$A$156)-1,""),4)),"")</f>
        <v/>
      </c>
      <c r="L33" s="121"/>
      <c r="M33" s="120" t="str">
        <f t="array" ref="M33">IFERROR(INDEX('Log Diário'!$K$2:$K$156,SMALL(IF(('Log Diário'!$B$2:$B$156="Charles Johnson")*('Log Diário'!$A$2:$A$156=Painel!$B$4),ROW('Log Diário'!$A$2:$A$156)-1,""),4)),"")&amp;""</f>
        <v/>
      </c>
      <c r="N33" s="120"/>
      <c r="O33" s="120"/>
      <c r="P33" s="120"/>
      <c r="Q33" s="120"/>
      <c r="R33" s="120"/>
      <c r="S33" s="77"/>
    </row>
    <row r="34" spans="1:19" ht="3" customHeight="1" x14ac:dyDescent="0.25">
      <c r="A34" s="77"/>
      <c r="B34" s="77"/>
      <c r="C34" s="77" t="str">
        <f t="array" ref="C34">IFERROR(INDEX('Log Diário'!$C$2:$C$156,SMALL(IF(('Log Diário'!$B$2:$B$156="Charles Johnson")*('Log Diário'!$A$2:$A$156=Painel!$B$4),ROW('Log Diário'!$A$2:$A$156)-1,""),5)),"")</f>
        <v/>
      </c>
      <c r="D34" s="77" t="str">
        <f t="array" ref="D34">IFERROR(INDEX('Log Diário'!$D$2:$D$156,SMALL(IF(('Log Diário'!$B$2:$B$156="Charles Johnson")*('Log Diário'!$A$2:$A$156=Painel!$B$4),ROW('Log Diário'!$A$2:$A$156)-1,""),5)),"")</f>
        <v/>
      </c>
      <c r="E34" s="77" t="str">
        <f t="array" ref="E34">IFERROR(INDEX('Log Diário'!$E$2:$E$156,SMALL(IF(('Log Diário'!$B$2:$B$156="Charles Johnson")*('Log Diário'!$A$2:$A$156=Painel!$B$4),ROW('Log Diário'!$A$2:$A$156)-1,""),5)),"")</f>
        <v/>
      </c>
      <c r="F34" s="120" t="str">
        <f t="array" ref="F34">IFERROR(INDEX('Log Diário'!$F$2:$F$156,SMALL(IF(('Log Diário'!$B$2:$B$156="Charles Johnson")*('Log Diário'!$A$2:$A$156=Painel!$B$4),ROW('Log Diário'!$A$2:$A$156)-1,""),5)),"")</f>
        <v/>
      </c>
      <c r="G34" s="120"/>
      <c r="H34" s="120"/>
      <c r="I34" s="120"/>
      <c r="J34" s="120"/>
      <c r="K34" s="121" t="str">
        <f t="array" ref="K34">IFERROR(INDEX('Log Diário'!$I$2:$I$156,SMALL(IF(('Log Diário'!$B$2:$B$156="Charles Johnson")*('Log Diário'!$A$2:$A$156=Painel!$B$4),ROW('Log Diário'!$A$2:$A$156)-1,""),5)),"")</f>
        <v/>
      </c>
      <c r="L34" s="121"/>
      <c r="M34" s="120" t="str">
        <f t="array" ref="M34">IFERROR(INDEX('Log Diário'!$K$2:$K$156,SMALL(IF(('Log Diário'!$B$2:$B$156="Charles Johnson")*('Log Diário'!$A$2:$A$156=Painel!$B$4),ROW('Log Diário'!$A$2:$A$156)-1,""),5)),"")&amp;""</f>
        <v/>
      </c>
      <c r="N34" s="120"/>
      <c r="O34" s="120"/>
      <c r="P34" s="120"/>
      <c r="Q34" s="120"/>
      <c r="R34" s="120"/>
      <c r="S34" s="77"/>
    </row>
    <row r="35" spans="1:19" ht="3" customHeight="1" x14ac:dyDescent="0.25">
      <c r="A35" s="77"/>
      <c r="B35" s="77"/>
      <c r="C35" s="77" t="str">
        <f t="array" ref="C35">IFERROR(INDEX('Log Diário'!$C$2:$C$156,SMALL(IF(('Log Diário'!$B$2:$B$156="Charles Johnson")*('Log Diário'!$A$2:$A$156=Painel!$B$4),ROW('Log Diário'!$A$2:$A$156)-1,""),6)),"")</f>
        <v/>
      </c>
      <c r="D35" s="77" t="str">
        <f t="array" ref="D35">IFERROR(INDEX('Log Diário'!$D$2:$D$156,SMALL(IF(('Log Diário'!$B$2:$B$156="Charles Johnson")*('Log Diário'!$A$2:$A$156=Painel!$B$4),ROW('Log Diário'!$A$2:$A$156)-1,""),6)),"")</f>
        <v/>
      </c>
      <c r="E35" s="77" t="str">
        <f t="array" ref="E35">IFERROR(INDEX('Log Diário'!$E$2:$E$156,SMALL(IF(('Log Diário'!$B$2:$B$156="Charles Johnson")*('Log Diário'!$A$2:$A$156=Painel!$B$4),ROW('Log Diário'!$A$2:$A$156)-1,""),6)),"")</f>
        <v/>
      </c>
      <c r="F35" s="120" t="str">
        <f t="array" ref="F35">IFERROR(INDEX('Log Diário'!$F$2:$F$156,SMALL(IF(('Log Diário'!$B$2:$B$156="Charles Johnson")*('Log Diário'!$A$2:$A$156=Painel!$B$4),ROW('Log Diário'!$A$2:$A$156)-1,""),6)),"")</f>
        <v/>
      </c>
      <c r="G35" s="120"/>
      <c r="H35" s="120"/>
      <c r="I35" s="120"/>
      <c r="J35" s="120"/>
      <c r="K35" s="121" t="str">
        <f t="array" ref="K35">IFERROR(INDEX('Log Diário'!$I$2:$I$156,SMALL(IF(('Log Diário'!$B$2:$B$156="Charles Johnson")*('Log Diário'!$A$2:$A$156=Painel!$B$4),ROW('Log Diário'!$A$2:$A$156)-1,""),6)),"")</f>
        <v/>
      </c>
      <c r="L35" s="121"/>
      <c r="M35" s="120" t="str">
        <f t="array" ref="M35">IFERROR(INDEX('Log Diário'!$K$2:$K$156,SMALL(IF(('Log Diário'!$B$2:$B$156="Charles Johnson")*('Log Diário'!$A$2:$A$156=Painel!$B$4),ROW('Log Diário'!$A$2:$A$156)-1,""),6)),"")&amp;""</f>
        <v/>
      </c>
      <c r="N35" s="120"/>
      <c r="O35" s="120"/>
      <c r="P35" s="120"/>
      <c r="Q35" s="120"/>
      <c r="R35" s="120"/>
      <c r="S35" s="77"/>
    </row>
    <row r="36" spans="1:19" ht="3" customHeight="1" x14ac:dyDescent="0.25">
      <c r="A36" s="77"/>
      <c r="B36" s="77"/>
      <c r="C36" s="77" t="str">
        <f t="array" ref="C36">IFERROR(INDEX('Log Diário'!$C$2:$C$156,SMALL(IF(('Log Diário'!$B$2:$B$156="Charles Johnson")*('Log Diário'!$A$2:$A$156=Painel!$B$4),ROW('Log Diário'!$A$2:$A$156)-1,""),7)),"")</f>
        <v/>
      </c>
      <c r="D36" s="77" t="str">
        <f t="array" ref="D36">IFERROR(INDEX('Log Diário'!$D$2:$D$156,SMALL(IF(('Log Diário'!$B$2:$B$156="Charles Johnson")*('Log Diário'!$A$2:$A$156=Painel!$B$4),ROW('Log Diário'!$A$2:$A$156)-1,""),7)),"")</f>
        <v/>
      </c>
      <c r="E36" s="77" t="str">
        <f t="array" ref="E36">IFERROR(INDEX('Log Diário'!$E$2:$E$156,SMALL(IF(('Log Diário'!$B$2:$B$156="Charles Johnson")*('Log Diário'!$A$2:$A$156=Painel!$B$4),ROW('Log Diário'!$A$2:$A$156)-1,""),7)),"")</f>
        <v/>
      </c>
      <c r="F36" s="120" t="str">
        <f t="array" ref="F36">IFERROR(INDEX('Log Diário'!$F$2:$F$156,SMALL(IF(('Log Diário'!$B$2:$B$156="Charles Johnson")*('Log Diário'!$A$2:$A$156=Painel!$B$4),ROW('Log Diário'!$A$2:$A$156)-1,""),7)),"")</f>
        <v/>
      </c>
      <c r="G36" s="120"/>
      <c r="H36" s="120"/>
      <c r="I36" s="120"/>
      <c r="J36" s="120"/>
      <c r="K36" s="121" t="str">
        <f t="array" ref="K36">IFERROR(INDEX('Log Diário'!$I$2:$I$156,SMALL(IF(('Log Diário'!$B$2:$B$156="Charles Johnson")*('Log Diário'!$A$2:$A$156=Painel!$B$4),ROW('Log Diário'!$A$2:$A$156)-1,""),7)),"")</f>
        <v/>
      </c>
      <c r="L36" s="121"/>
      <c r="M36" s="120" t="str">
        <f t="array" ref="M36">IFERROR(INDEX('Log Diário'!$K$2:$K$156,SMALL(IF(('Log Diário'!$B$2:$B$156="Charles Johnson")*('Log Diário'!$A$2:$A$156=Painel!$B$4),ROW('Log Diário'!$A$2:$A$156)-1,""),7)),"")&amp;""</f>
        <v/>
      </c>
      <c r="N36" s="120"/>
      <c r="O36" s="120"/>
      <c r="P36" s="120"/>
      <c r="Q36" s="120"/>
      <c r="R36" s="120"/>
      <c r="S36" s="77"/>
    </row>
    <row r="37" spans="1:19" ht="3" customHeight="1" x14ac:dyDescent="0.25">
      <c r="A37" s="77"/>
      <c r="B37" s="77"/>
      <c r="C37" s="77" t="str">
        <f t="array" ref="C37">IFERROR(INDEX('Log Diário'!$C$2:$C$156,SMALL(IF(('Log Diário'!$B$2:$B$156="Charles Johnson")*('Log Diário'!$A$2:$A$156=Painel!$B$4),ROW('Log Diário'!$A$2:$A$156)-1,""),8)),"")</f>
        <v/>
      </c>
      <c r="D37" s="77" t="str">
        <f t="array" ref="D37">IFERROR(INDEX('Log Diário'!$D$2:$D$156,SMALL(IF(('Log Diário'!$B$2:$B$156="Charles Johnson")*('Log Diário'!$A$2:$A$156=Painel!$B$4),ROW('Log Diário'!$A$2:$A$156)-1,""),8)),"")</f>
        <v/>
      </c>
      <c r="E37" s="77" t="str">
        <f t="array" ref="E37">IFERROR(INDEX('Log Diário'!$E$2:$E$156,SMALL(IF(('Log Diário'!$B$2:$B$156="Charles Johnson")*('Log Diário'!$A$2:$A$156=Painel!$B$4),ROW('Log Diário'!$A$2:$A$156)-1,""),8)),"")</f>
        <v/>
      </c>
      <c r="F37" s="120" t="str">
        <f t="array" ref="F37">IFERROR(INDEX('Log Diário'!$F$2:$F$156,SMALL(IF(('Log Diário'!$B$2:$B$156="Charles Johnson")*('Log Diário'!$A$2:$A$156=Painel!$B$4),ROW('Log Diário'!$A$2:$A$156)-1,""),8)),"")</f>
        <v/>
      </c>
      <c r="G37" s="120"/>
      <c r="H37" s="120"/>
      <c r="I37" s="120"/>
      <c r="J37" s="120"/>
      <c r="K37" s="121" t="str">
        <f t="array" ref="K37">IFERROR(INDEX('Log Diário'!$I$2:$I$156,SMALL(IF(('Log Diário'!$B$2:$B$156="Charles Johnson")*('Log Diário'!$A$2:$A$156=Painel!$B$4),ROW('Log Diário'!$A$2:$A$156)-1,""),8)),"")</f>
        <v/>
      </c>
      <c r="L37" s="121"/>
      <c r="M37" s="120" t="str">
        <f t="array" ref="M37">IFERROR(INDEX('Log Diário'!$K$2:$K$156,SMALL(IF(('Log Diário'!$B$2:$B$156="Charles Johnson")*('Log Diário'!$A$2:$A$156=Painel!$B$4),ROW('Log Diário'!$A$2:$A$156)-1,""),8)),"")&amp;""</f>
        <v/>
      </c>
      <c r="N37" s="120"/>
      <c r="O37" s="120"/>
      <c r="P37" s="120"/>
      <c r="Q37" s="120"/>
      <c r="R37" s="120"/>
      <c r="S37" s="77"/>
    </row>
    <row r="38" spans="1:19" ht="3" customHeight="1" x14ac:dyDescent="0.25">
      <c r="A38" s="77"/>
      <c r="B38" s="77"/>
      <c r="C38" s="77" t="str">
        <f t="array" ref="C38">IFERROR(INDEX('Log Diário'!$C$2:$C$156,SMALL(IF(('Log Diário'!$B$2:$B$156="Charles Johnson")*('Log Diário'!$A$2:$A$156=Painel!$B$4),ROW('Log Diário'!$A$2:$A$156)-1,""),9)),"")</f>
        <v/>
      </c>
      <c r="D38" s="77" t="str">
        <f t="array" ref="D38">IFERROR(INDEX('Log Diário'!$D$2:$D$156,SMALL(IF(('Log Diário'!$B$2:$B$156="Charles Johnson")*('Log Diário'!$A$2:$A$156=Painel!$B$4),ROW('Log Diário'!$A$2:$A$156)-1,""),9)),"")</f>
        <v/>
      </c>
      <c r="E38" s="77" t="str">
        <f t="array" ref="E38">IFERROR(INDEX('Log Diário'!$E$2:$E$156,SMALL(IF(('Log Diário'!$B$2:$B$156="Charles Johnson")*('Log Diário'!$A$2:$A$156=Painel!$B$4),ROW('Log Diário'!$A$2:$A$156)-1,""),9)),"")</f>
        <v/>
      </c>
      <c r="F38" s="120" t="str">
        <f t="array" ref="F38">IFERROR(INDEX('Log Diário'!$F$2:$F$156,SMALL(IF(('Log Diário'!$B$2:$B$156="Charles Johnson")*('Log Diário'!$A$2:$A$156=Painel!$B$4),ROW('Log Diário'!$A$2:$A$156)-1,""),9)),"")</f>
        <v/>
      </c>
      <c r="G38" s="120"/>
      <c r="H38" s="120"/>
      <c r="I38" s="120"/>
      <c r="J38" s="120"/>
      <c r="K38" s="121" t="str">
        <f t="array" ref="K38">IFERROR(INDEX('Log Diário'!$I$2:$I$156,SMALL(IF(('Log Diário'!$B$2:$B$156="Charles Johnson")*('Log Diário'!$A$2:$A$156=Painel!$B$4),ROW('Log Diário'!$A$2:$A$156)-1,""),9)),"")</f>
        <v/>
      </c>
      <c r="L38" s="121"/>
      <c r="M38" s="120" t="str">
        <f t="array" ref="M38">IFERROR(INDEX('Log Diário'!$K$2:$K$156,SMALL(IF(('Log Diário'!$B$2:$B$156="Charles Johnson")*('Log Diário'!$A$2:$A$156=Painel!$B$4),ROW('Log Diário'!$A$2:$A$156)-1,""),9)),"")&amp;""</f>
        <v/>
      </c>
      <c r="N38" s="120"/>
      <c r="O38" s="120"/>
      <c r="P38" s="120"/>
      <c r="Q38" s="120"/>
      <c r="R38" s="120"/>
      <c r="S38" s="77"/>
    </row>
    <row r="39" spans="1:19" ht="3" customHeight="1" x14ac:dyDescent="0.25">
      <c r="A39" s="77"/>
      <c r="B39" s="77"/>
      <c r="C39" s="77" t="str">
        <f t="array" ref="C39">IFERROR(INDEX('Log Diário'!$C$2:$C$156,SMALL(IF(('Log Diário'!$B$2:$B$156="Charles Johnson")*('Log Diário'!$A$2:$A$156=Painel!$B$4),ROW('Log Diário'!$A$2:$A$156)-1,""),10)),"")</f>
        <v/>
      </c>
      <c r="D39" s="77" t="str">
        <f t="array" ref="D39">IFERROR(INDEX('Log Diário'!$D$2:$D$156,SMALL(IF(('Log Diário'!$B$2:$B$156="Charles Johnson")*('Log Diário'!$A$2:$A$156=Painel!$B$4),ROW('Log Diário'!$A$2:$A$156)-1,""),10)),"")</f>
        <v/>
      </c>
      <c r="E39" s="77" t="str">
        <f t="array" ref="E39">IFERROR(INDEX('Log Diário'!$E$2:$E$156,SMALL(IF(('Log Diário'!$B$2:$B$156="Charles Johnson")*('Log Diário'!$A$2:$A$156=Painel!$B$4),ROW('Log Diário'!$A$2:$A$156)-1,""),10)),"")</f>
        <v/>
      </c>
      <c r="F39" s="120" t="str">
        <f t="array" ref="F39">IFERROR(INDEX('Log Diário'!$F$2:$F$156,SMALL(IF(('Log Diário'!$B$2:$B$156="Charles Johnson")*('Log Diário'!$A$2:$A$156=Painel!$B$4),ROW('Log Diário'!$A$2:$A$156)-1,""),10)),"")</f>
        <v/>
      </c>
      <c r="G39" s="120"/>
      <c r="H39" s="120"/>
      <c r="I39" s="120"/>
      <c r="J39" s="120"/>
      <c r="K39" s="121" t="str">
        <f t="array" ref="K39">IFERROR(INDEX('Log Diário'!$I$2:$I$156,SMALL(IF(('Log Diário'!$B$2:$B$156="Charles Johnson")*('Log Diário'!$A$2:$A$156=Painel!$B$4),ROW('Log Diário'!$A$2:$A$156)-1,""),10)),"")</f>
        <v/>
      </c>
      <c r="L39" s="121"/>
      <c r="M39" s="120" t="str">
        <f t="array" ref="M39">IFERROR(INDEX('Log Diário'!$K$2:$K$156,SMALL(IF(('Log Diário'!$B$2:$B$156="Charles Johnson")*('Log Diário'!$A$2:$A$156=Painel!$B$4),ROW('Log Diário'!$A$2:$A$156)-1,""),10)),"")&amp;""</f>
        <v/>
      </c>
      <c r="N39" s="120"/>
      <c r="O39" s="120"/>
      <c r="P39" s="120"/>
      <c r="Q39" s="120"/>
      <c r="R39" s="120"/>
      <c r="S39" s="77"/>
    </row>
    <row r="41" spans="1:19" ht="21.75" customHeight="1" x14ac:dyDescent="0.25">
      <c r="C41" s="122" t="str">
        <f>IF(COUNTIFS('Log Diário'!$B$2:$B$699,"Charles Johnson",'Log Diário'!$A$2:$A$699,Painel!$B$4)=0,"⚠ Nenhuma atividade registrada para "&amp;TEXT(Painel!$B$4,"DD/MM/YYYY")&amp;" — relatório diário pendente","")</f>
        <v/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</row>
    <row r="42" spans="1:19" ht="15" customHeight="1" x14ac:dyDescent="0.25">
      <c r="C42" s="123" t="s">
        <v>503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</row>
    <row r="199" spans="3:4" ht="15" customHeight="1" x14ac:dyDescent="0.25">
      <c r="C199" s="78" t="s">
        <v>504</v>
      </c>
      <c r="D199" s="78" t="s">
        <v>505</v>
      </c>
    </row>
    <row r="200" spans="3:4" ht="15" customHeight="1" x14ac:dyDescent="0.25">
      <c r="C200" s="79" t="str">
        <f>IF(D200=0,"","Não iniciado")</f>
        <v/>
      </c>
      <c r="D200" s="79">
        <f>COUNTIFS('Log Diário'!$B$2:$B$699,"Charles Johnson",'Log Diário'!$A$2:$A$699,Painel!$B$4,'Log Diário'!$I$2:$I$699,"Não iniciado")</f>
        <v>0</v>
      </c>
    </row>
    <row r="201" spans="3:4" ht="15" customHeight="1" x14ac:dyDescent="0.25">
      <c r="C201" s="79" t="str">
        <f>IF(D201=0,"","Em andamento")</f>
        <v/>
      </c>
      <c r="D201" s="79">
        <f>COUNTIFS('Log Diário'!$B$2:$B$699,"Charles Johnson",'Log Diário'!$A$2:$A$699,Painel!$B$4,'Log Diário'!$I$2:$I$699,"Em andamento")</f>
        <v>0</v>
      </c>
    </row>
    <row r="202" spans="3:4" ht="15" customHeight="1" x14ac:dyDescent="0.25">
      <c r="C202" s="79" t="str">
        <f>IF(D202=0,"","Acompanhamento")</f>
        <v/>
      </c>
      <c r="D202" s="79">
        <f>COUNTIFS('Log Diário'!$B$2:$B$699,"Charles Johnson",'Log Diário'!$A$2:$A$699,Painel!$B$4,'Log Diário'!$I$2:$I$699,"Acompanhamento")</f>
        <v>0</v>
      </c>
    </row>
    <row r="203" spans="3:4" ht="15" customHeight="1" x14ac:dyDescent="0.25">
      <c r="C203" s="79" t="str">
        <f>IF(D203=0,"","Inspecionado OK")</f>
        <v/>
      </c>
      <c r="D203" s="79">
        <f>COUNTIFS('Log Diário'!$B$2:$B$699,"Charles Johnson",'Log Diário'!$A$2:$A$699,Painel!$B$4,'Log Diário'!$I$2:$I$699,"Inspecionado OK")</f>
        <v>0</v>
      </c>
    </row>
    <row r="204" spans="3:4" ht="15" customHeight="1" x14ac:dyDescent="0.25">
      <c r="C204" s="79" t="str">
        <f>IF(D204=0,"","Pendência")</f>
        <v/>
      </c>
      <c r="D204" s="79">
        <f>COUNTIFS('Log Diário'!$B$2:$B$699,"Charles Johnson",'Log Diário'!$A$2:$A$699,Painel!$B$4,'Log Diário'!$I$2:$I$699,"Pendência")</f>
        <v>0</v>
      </c>
    </row>
    <row r="205" spans="3:4" ht="15" customHeight="1" x14ac:dyDescent="0.25">
      <c r="C205" s="79" t="str">
        <f>IF(D205=0,"","Reprovado")</f>
        <v/>
      </c>
      <c r="D205" s="79">
        <f>COUNTIFS('Log Diário'!$B$2:$B$699,"Charles Johnson",'Log Diário'!$A$2:$A$699,Painel!$B$4,'Log Diário'!$I$2:$I$699,"Reprovado")</f>
        <v>0</v>
      </c>
    </row>
  </sheetData>
  <mergeCells count="52">
    <mergeCell ref="F39:J39"/>
    <mergeCell ref="K39:L39"/>
    <mergeCell ref="M39:R39"/>
    <mergeCell ref="C41:N41"/>
    <mergeCell ref="C42:N42"/>
    <mergeCell ref="F37:J37"/>
    <mergeCell ref="K37:L37"/>
    <mergeCell ref="M37:R37"/>
    <mergeCell ref="F38:J38"/>
    <mergeCell ref="K38:L38"/>
    <mergeCell ref="M38:R38"/>
    <mergeCell ref="F35:J35"/>
    <mergeCell ref="K35:L35"/>
    <mergeCell ref="M35:R35"/>
    <mergeCell ref="F36:J36"/>
    <mergeCell ref="K36:L36"/>
    <mergeCell ref="M36:R36"/>
    <mergeCell ref="F33:J33"/>
    <mergeCell ref="K33:L33"/>
    <mergeCell ref="M33:R33"/>
    <mergeCell ref="F34:J34"/>
    <mergeCell ref="K34:L34"/>
    <mergeCell ref="M34:R34"/>
    <mergeCell ref="F31:J31"/>
    <mergeCell ref="K31:L31"/>
    <mergeCell ref="M31:R31"/>
    <mergeCell ref="F32:J32"/>
    <mergeCell ref="K32:L32"/>
    <mergeCell ref="M32:R32"/>
    <mergeCell ref="F29:J29"/>
    <mergeCell ref="K29:L29"/>
    <mergeCell ref="M29:R29"/>
    <mergeCell ref="F30:J30"/>
    <mergeCell ref="K30:L30"/>
    <mergeCell ref="M30:R30"/>
    <mergeCell ref="H12:N12"/>
    <mergeCell ref="H13:N14"/>
    <mergeCell ref="H15:N15"/>
    <mergeCell ref="H16:N17"/>
    <mergeCell ref="C28:N28"/>
    <mergeCell ref="C6:F8"/>
    <mergeCell ref="G6:J8"/>
    <mergeCell ref="K6:N8"/>
    <mergeCell ref="C9:N9"/>
    <mergeCell ref="C10:N10"/>
    <mergeCell ref="C1:N1"/>
    <mergeCell ref="C2:N2"/>
    <mergeCell ref="C3:L3"/>
    <mergeCell ref="M3:N3"/>
    <mergeCell ref="C5:F5"/>
    <mergeCell ref="G5:J5"/>
    <mergeCell ref="K5:N5"/>
  </mergeCells>
  <conditionalFormatting sqref="A30:R39">
    <cfRule type="expression" dxfId="44" priority="36">
      <formula>$C30=""</formula>
    </cfRule>
  </conditionalFormatting>
  <conditionalFormatting sqref="K30:L39">
    <cfRule type="cellIs" dxfId="43" priority="2" operator="equal">
      <formula>"Não iniciado"</formula>
    </cfRule>
    <cfRule type="cellIs" dxfId="42" priority="3" operator="equal">
      <formula>"Em andamento"</formula>
    </cfRule>
    <cfRule type="cellIs" dxfId="41" priority="4" operator="equal">
      <formula>"Acompanhamento"</formula>
    </cfRule>
    <cfRule type="cellIs" dxfId="40" priority="5" operator="equal">
      <formula>"Inspecionado OK"</formula>
    </cfRule>
    <cfRule type="cellIs" dxfId="39" priority="6" operator="equal">
      <formula>"Pendência"</formula>
    </cfRule>
    <cfRule type="cellIs" dxfId="38" priority="7" operator="equal">
      <formula>"Reprovado"</formula>
    </cfRule>
    <cfRule type="cellIs" dxfId="37" priority="16" operator="equal">
      <formula>"Reprovado parcial"</formula>
    </cfRule>
    <cfRule type="cellIs" dxfId="36" priority="17" operator="equal">
      <formula>"Recebido"</formula>
    </cfRule>
    <cfRule type="cellIs" dxfId="35" priority="18" operator="equal">
      <formula>"Recebido parcial"</formula>
    </cfRule>
    <cfRule type="cellIs" dxfId="34" priority="11" operator="equal">
      <formula>"Finalizado"</formula>
    </cfRule>
    <cfRule type="cellIs" dxfId="33" priority="12" operator="equal">
      <formula>"Aprovado"</formula>
    </cfRule>
    <cfRule type="cellIs" dxfId="32" priority="19" operator="equal">
      <formula>"Inspecionado"</formula>
    </cfRule>
    <cfRule type="cellIs" dxfId="31" priority="15" operator="equal">
      <formula>"Não finalizado"</formula>
    </cfRule>
  </conditionalFormatting>
  <conditionalFormatting sqref="M30:R39">
    <cfRule type="expression" dxfId="30" priority="20">
      <formula>NOT(ISERROR(SEARCH("CHECK-IN",M30)))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205"/>
  <sheetViews>
    <sheetView showGridLines="0" zoomScaleNormal="100" workbookViewId="0"/>
  </sheetViews>
  <sheetFormatPr defaultColWidth="8.7109375" defaultRowHeight="15" x14ac:dyDescent="0.25"/>
  <cols>
    <col min="1" max="2" width="3" customWidth="1"/>
    <col min="3" max="14" width="11" customWidth="1"/>
    <col min="15" max="18" width="14" customWidth="1"/>
  </cols>
  <sheetData>
    <row r="1" spans="3:14" ht="36" customHeight="1" x14ac:dyDescent="0.25">
      <c r="C1" s="146" t="s">
        <v>514</v>
      </c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3:14" ht="21.75" customHeight="1" x14ac:dyDescent="0.25">
      <c r="C2" s="106" t="s">
        <v>511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3:14" ht="21.75" customHeight="1" x14ac:dyDescent="0.25">
      <c r="C3" s="107" t="s">
        <v>497</v>
      </c>
      <c r="D3" s="107"/>
      <c r="E3" s="107"/>
      <c r="F3" s="107"/>
      <c r="G3" s="107"/>
      <c r="H3" s="107"/>
      <c r="I3" s="107"/>
      <c r="J3" s="107"/>
      <c r="K3" s="107"/>
      <c r="L3" s="107"/>
      <c r="M3" s="108">
        <f>Painel!$B$4</f>
        <v>46203</v>
      </c>
      <c r="N3" s="108"/>
    </row>
    <row r="4" spans="3:14" ht="6" customHeight="1" x14ac:dyDescent="0.25"/>
    <row r="5" spans="3:14" ht="19.5" customHeight="1" x14ac:dyDescent="0.25">
      <c r="C5" s="110" t="s">
        <v>8</v>
      </c>
      <c r="D5" s="110"/>
      <c r="E5" s="110"/>
      <c r="F5" s="110"/>
      <c r="G5" s="109" t="s">
        <v>498</v>
      </c>
      <c r="H5" s="109"/>
      <c r="I5" s="109"/>
      <c r="J5" s="109"/>
      <c r="K5" s="110" t="s">
        <v>499</v>
      </c>
      <c r="L5" s="110"/>
      <c r="M5" s="110"/>
      <c r="N5" s="110"/>
    </row>
    <row r="6" spans="3:14" ht="18" customHeight="1" x14ac:dyDescent="0.25">
      <c r="C6" s="112">
        <f>COUNTIFS('Log Diário'!$B$2:$B$699,"Daniel Henrique",'Log Diário'!$A$2:$A$699,Painel!$B$4)</f>
        <v>8</v>
      </c>
      <c r="D6" s="112"/>
      <c r="E6" s="112"/>
      <c r="F6" s="112"/>
      <c r="G6" s="111">
        <f>COUNTIFS('Log Diário'!$B$2:$B$699,"Daniel Henrique",'Log Diário'!$A$2:$A$699,Painel!$B$4,'Log Diário'!$I$2:$I$699,"Em andamento")+COUNTIFS('Log Diário'!$B$2:$B$699,"Daniel Henrique",'Log Diário'!$A$2:$A$699,Painel!$B$4,'Log Diário'!$I$2:$I$699,"Acompanhamento")</f>
        <v>5</v>
      </c>
      <c r="H6" s="111"/>
      <c r="I6" s="111"/>
      <c r="J6" s="111"/>
      <c r="K6" s="112">
        <f>COUNTIFS('Log Diário'!$B$2:$B$699,"Daniel Henrique",'Log Diário'!$A$2:$A$699,Painel!$B$4,'Log Diário'!$I$2:$I$699,"Pendência")+COUNTIFS('Log Diário'!$B$2:$B$699,"Daniel Henrique",'Log Diário'!$A$2:$A$699,Painel!$B$4,'Log Diário'!$I$2:$I$699,"Reprovado")</f>
        <v>0</v>
      </c>
      <c r="L6" s="112"/>
      <c r="M6" s="112"/>
      <c r="N6" s="112"/>
    </row>
    <row r="7" spans="3:14" ht="18" customHeight="1" x14ac:dyDescent="0.25">
      <c r="C7" s="112"/>
      <c r="D7" s="112"/>
      <c r="E7" s="112"/>
      <c r="F7" s="112"/>
      <c r="G7" s="111"/>
      <c r="H7" s="111"/>
      <c r="I7" s="111"/>
      <c r="J7" s="111"/>
      <c r="K7" s="112"/>
      <c r="L7" s="112"/>
      <c r="M7" s="112"/>
      <c r="N7" s="112"/>
    </row>
    <row r="8" spans="3:14" ht="18" customHeight="1" x14ac:dyDescent="0.25">
      <c r="C8" s="112"/>
      <c r="D8" s="112"/>
      <c r="E8" s="112"/>
      <c r="F8" s="112"/>
      <c r="G8" s="111"/>
      <c r="H8" s="111"/>
      <c r="I8" s="111"/>
      <c r="J8" s="111"/>
      <c r="K8" s="112"/>
      <c r="L8" s="112"/>
      <c r="M8" s="112"/>
      <c r="N8" s="112"/>
    </row>
    <row r="9" spans="3:14" ht="6" customHeight="1" x14ac:dyDescent="0.25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3:14" ht="19.5" customHeight="1" x14ac:dyDescent="0.25">
      <c r="C10" s="114" t="str">
        <f>"📈 Total de atividades registradas em "&amp;INDEX({"janeiro";"fevereiro";"março";"abril";"maio";"junho";"julho";"agosto";"setembro";"outubro";"novembro";"dezembro"},MONTH(Painel!$B$4))&amp;"/"&amp;YEAR(Painel!$B$4)&amp;": "&amp;COUNTIFS('Log Diário'!$B$2:$B$699,"Daniel Henrique",'Log Diário'!$A$2:$A$699,"&gt;"&amp;DATE(YEAR(Painel!$B$4),MONTH(Painel!$B$4),1),'Log Diário'!$A$2:$A$699,"&lt;"&amp;DATE(YEAR(Painel!$B$4),MONTH(Painel!$B$4)+1,1))&amp;" atividades"</f>
        <v>📈 Total de atividades registradas em junho/2026: 54 atividades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3:14" ht="7.5" customHeight="1" x14ac:dyDescent="0.25"/>
    <row r="12" spans="3:14" ht="19.5" customHeight="1" x14ac:dyDescent="0.25">
      <c r="H12" s="115" t="s">
        <v>500</v>
      </c>
      <c r="I12" s="115"/>
      <c r="J12" s="115"/>
      <c r="K12" s="115"/>
      <c r="L12" s="115"/>
      <c r="M12" s="115"/>
      <c r="N12" s="115"/>
    </row>
    <row r="13" spans="3:14" ht="15" customHeight="1" x14ac:dyDescent="0.25">
      <c r="H13" s="147" t="str">
        <f>TRIM(IF(COUNTIFS('Log Diário'!$B$2:$B$699,"Daniel Henrique",'Log Diário'!$A$2:$A$699,Painel!$B$4,'Log Diário'!$C$2:$C$699,"ELE")&gt;0,"ELE  ","")&amp;IF(COUNTIFS('Log Diário'!$B$2:$B$699,"Daniel Henrique",'Log Diário'!$A$2:$A$699,Painel!$B$4,'Log Diário'!$C$2:$C$699,"TUB")&gt;0,"TUB  ","")&amp;IF(COUNTIFS('Log Diário'!$B$2:$B$699,"Daniel Henrique",'Log Diário'!$A$2:$A$699,Painel!$B$4,'Log Diário'!$C$2:$C$699,"MEC")&gt;0,"MEC  ","")&amp;IF(COUNTIFS('Log Diário'!$B$2:$B$699,"Daniel Henrique",'Log Diário'!$A$2:$A$699,Painel!$B$4,'Log Diário'!$C$2:$C$699,"SOLDA")&gt;0,"SOLDA  ","")&amp;IF(COUNTIFS('Log Diário'!$B$2:$B$699,"Daniel Henrique",'Log Diário'!$A$2:$A$699,Painel!$B$4,'Log Diário'!$C$2:$C$699,"AND")&gt;0,"AND  ","")&amp;IF(COUNTIFS('Log Diário'!$B$2:$B$699,"Daniel Henrique",'Log Diário'!$A$2:$A$699,Painel!$B$4,'Log Diário'!$C$2:$C$699,"ADM")&gt;0,"ADM  ",""))</f>
        <v>TUB MEC SOLDA</v>
      </c>
      <c r="I13" s="147"/>
      <c r="J13" s="147"/>
      <c r="K13" s="147"/>
      <c r="L13" s="147"/>
      <c r="M13" s="147"/>
      <c r="N13" s="147"/>
    </row>
    <row r="14" spans="3:14" ht="15" customHeight="1" x14ac:dyDescent="0.25">
      <c r="H14" s="147"/>
      <c r="I14" s="147"/>
      <c r="J14" s="147"/>
      <c r="K14" s="147"/>
      <c r="L14" s="147"/>
      <c r="M14" s="147"/>
      <c r="N14" s="147"/>
    </row>
    <row r="15" spans="3:14" ht="19.5" customHeight="1" x14ac:dyDescent="0.25">
      <c r="H15" s="115" t="s">
        <v>501</v>
      </c>
      <c r="I15" s="115"/>
      <c r="J15" s="115"/>
      <c r="K15" s="115"/>
      <c r="L15" s="115"/>
      <c r="M15" s="115"/>
      <c r="N15" s="115"/>
    </row>
    <row r="16" spans="3:14" ht="15" customHeight="1" x14ac:dyDescent="0.25">
      <c r="H16" s="148" t="str">
        <f t="array" ref="H16">IF(RIGHT(IFERROR(INDEX('Log Diário'!$D$2:$D$699,SMALL(IF(('Log Diário'!$B$2:$B$699="Daniel Henrique")*('Log Diário'!$A$2:$A$699=Painel!$B$4),ROW('Log Diário'!$A$2:$A$699)-1,""),1))&amp;"   |   ","")&amp;IFERROR(INDEX('Log Diário'!$D$2:$D$699,SMALL(IF(('Log Diário'!$B$2:$B$699="Daniel Henrique")*('Log Diário'!$A$2:$A$699=Painel!$B$4),ROW('Log Diário'!$A$2:$A$699)-1,""),2))&amp;"   |   ","")&amp;IFERROR(INDEX('Log Diário'!$D$2:$D$699,SMALL(IF(('Log Diário'!$B$2:$B$699="Daniel Henrique")*('Log Diário'!$A$2:$A$699=Painel!$B$4),ROW('Log Diário'!$A$2:$A$699)-1,""),3))&amp;"   |   ","")&amp;IFERROR(INDEX('Log Diário'!$D$2:$D$699,SMALL(IF(('Log Diário'!$B$2:$B$699="Daniel Henrique")*('Log Diário'!$A$2:$A$699=Painel!$B$4),ROW('Log Diário'!$A$2:$A$699)-1,""),4))&amp;"   |   ","")&amp;IFERROR(INDEX('Log Diário'!$D$2:$D$699,SMALL(IF(('Log Diário'!$B$2:$B$699="Daniel Henrique")*('Log Diário'!$A$2:$A$699=Painel!$B$4),ROW('Log Diário'!$A$2:$A$699)-1,""),5))&amp;"   |   ","")&amp;IFERROR(INDEX('Log Diário'!$D$2:$D$699,SMALL(IF(('Log Diário'!$B$2:$B$699="Daniel Henrique")*('Log Diário'!$A$2:$A$699=Painel!$B$4),ROW('Log Diário'!$A$2:$A$699)-1,""),6))&amp;"   |   ",""),7)="   |   ",LEFT(IFERROR(INDEX('Log Diário'!$D$2:$D$699,SMALL(IF(('Log Diário'!$B$2:$B$699="Daniel Henrique")*('Log Diário'!$A$2:$A$699=Painel!$B$4),ROW('Log Diário'!$A$2:$A$699)-1,""),1))&amp;"   |   ","")&amp;IFERROR(INDEX('Log Diário'!$D$2:$D$699,SMALL(IF(('Log Diário'!$B$2:$B$699="Daniel Henrique")*('Log Diário'!$A$2:$A$699=Painel!$B$4),ROW('Log Diário'!$A$2:$A$699)-1,""),2))&amp;"   |   ","")&amp;IFERROR(INDEX('Log Diário'!$D$2:$D$699,SMALL(IF(('Log Diário'!$B$2:$B$699="Daniel Henrique")*('Log Diário'!$A$2:$A$699=Painel!$B$4),ROW('Log Diário'!$A$2:$A$699)-1,""),3))&amp;"   |   ","")&amp;IFERROR(INDEX('Log Diário'!$D$2:$D$699,SMALL(IF(('Log Diário'!$B$2:$B$699="Daniel Henrique")*('Log Diário'!$A$2:$A$699=Painel!$B$4),ROW('Log Diário'!$A$2:$A$699)-1,""),4))&amp;"   |   ","")&amp;IFERROR(INDEX('Log Diário'!$D$2:$D$699,SMALL(IF(('Log Diário'!$B$2:$B$699="Daniel Henrique")*('Log Diário'!$A$2:$A$699=Painel!$B$4),ROW('Log Diário'!$A$2:$A$699)-1,""),5))&amp;"   |   ","")&amp;IFERROR(INDEX('Log Diário'!$D$2:$D$699,SMALL(IF(('Log Diário'!$B$2:$B$699="Daniel Henrique")*('Log Diário'!$A$2:$A$699=Painel!$B$4),ROW('Log Diário'!$A$2:$A$699)-1,""),6))&amp;"   |   ",""),LEN(IFERROR(INDEX('Log Diário'!$D$2:$D$699,SMALL(IF(('Log Diário'!$B$2:$B$699="Daniel Henrique")*('Log Diário'!$A$2:$A$699=Painel!$B$4),ROW('Log Diário'!$A$2:$A$699)-1,""),1))&amp;"   |   ","")&amp;IFERROR(INDEX('Log Diário'!$D$2:$D$699,SMALL(IF(('Log Diário'!$B$2:$B$699="Daniel Henrique")*('Log Diário'!$A$2:$A$699=Painel!$B$4),ROW('Log Diário'!$A$2:$A$699)-1,""),2))&amp;"   |   ","")&amp;IFERROR(INDEX('Log Diário'!$D$2:$D$699,SMALL(IF(('Log Diário'!$B$2:$B$699="Daniel Henrique")*('Log Diário'!$A$2:$A$699=Painel!$B$4),ROW('Log Diário'!$A$2:$A$699)-1,""),3))&amp;"   |   ","")&amp;IFERROR(INDEX('Log Diário'!$D$2:$D$699,SMALL(IF(('Log Diário'!$B$2:$B$699="Daniel Henrique")*('Log Diário'!$A$2:$A$699=Painel!$B$4),ROW('Log Diário'!$A$2:$A$699)-1,""),4))&amp;"   |   ","")&amp;IFERROR(INDEX('Log Diário'!$D$2:$D$699,SMALL(IF(('Log Diário'!$B$2:$B$699="Daniel Henrique")*('Log Diário'!$A$2:$A$699=Painel!$B$4),ROW('Log Diário'!$A$2:$A$699)-1,""),5))&amp;"   |   ","")&amp;IFERROR(INDEX('Log Diário'!$D$2:$D$699,SMALL(IF(('Log Diário'!$B$2:$B$699="Daniel Henrique")*('Log Diário'!$A$2:$A$699=Painel!$B$4),ROW('Log Diário'!$A$2:$A$699)-1,""),6))&amp;"   |   ",""))-7),IFERROR(INDEX('Log Diário'!$D$2:$D$699,SMALL(IF(('Log Diário'!$B$2:$B$699="Daniel Henrique")*('Log Diário'!$A$2:$A$699=Painel!$B$4),ROW('Log Diário'!$A$2:$A$699)-1,""),1))&amp;"   |   ","")&amp;IFERROR(INDEX('Log Diário'!$D$2:$D$699,SMALL(IF(('Log Diário'!$B$2:$B$699="Daniel Henrique")*('Log Diário'!$A$2:$A$699=Painel!$B$4),ROW('Log Diário'!$A$2:$A$699)-1,""),2))&amp;"   |   ","")&amp;IFERROR(INDEX('Log Diário'!$D$2:$D$699,SMALL(IF(('Log Diário'!$B$2:$B$699="Daniel Henrique")*('Log Diário'!$A$2:$A$699=Painel!$B$4),ROW('Log Diário'!$A$2:$A$699)-1,""),3))&amp;"   |   ","")&amp;IFERROR(INDEX('Log Diário'!$D$2:$D$699,SMALL(IF(('Log Diário'!$B$2:$B$699="Daniel Henrique")*('Log Diário'!$A$2:$A$699=Painel!$B$4),ROW('Log Diário'!$A$2:$A$699)-1,""),4))&amp;"   |   ","")&amp;IFERROR(INDEX('Log Diário'!$D$2:$D$699,SMALL(IF(('Log Diário'!$B$2:$B$699="Daniel Henrique")*('Log Diário'!$A$2:$A$699=Painel!$B$4),ROW('Log Diário'!$A$2:$A$699)-1,""),5))&amp;"   |   ","")&amp;IFERROR(INDEX('Log Diário'!$D$2:$D$699,SMALL(IF(('Log Diário'!$B$2:$B$699="Daniel Henrique")*('Log Diário'!$A$2:$A$699=Painel!$B$4),ROW('Log Diário'!$A$2:$A$699)-1,""),6))&amp;"   |   ",""))</f>
        <v>Platô 2A   |   Platô 2A   |   Platô 2A   |   Platô 2A   |   Platô 2A   |   Platô 2A</v>
      </c>
      <c r="I16" s="148"/>
      <c r="J16" s="148"/>
      <c r="K16" s="148"/>
      <c r="L16" s="148"/>
      <c r="M16" s="148"/>
      <c r="N16" s="148"/>
    </row>
    <row r="17" spans="1:19" ht="15" customHeight="1" x14ac:dyDescent="0.25">
      <c r="H17" s="148"/>
      <c r="I17" s="148"/>
      <c r="J17" s="148"/>
      <c r="K17" s="148"/>
      <c r="L17" s="148"/>
      <c r="M17" s="148"/>
      <c r="N17" s="148"/>
    </row>
    <row r="18" spans="1:19" ht="13.5" customHeight="1" x14ac:dyDescent="0.25"/>
    <row r="19" spans="1:19" ht="13.5" customHeight="1" x14ac:dyDescent="0.25"/>
    <row r="20" spans="1:19" ht="13.5" customHeight="1" x14ac:dyDescent="0.25"/>
    <row r="21" spans="1:19" ht="13.5" customHeight="1" x14ac:dyDescent="0.25"/>
    <row r="22" spans="1:19" ht="13.5" customHeight="1" x14ac:dyDescent="0.25"/>
    <row r="23" spans="1:19" ht="13.5" customHeight="1" x14ac:dyDescent="0.25"/>
    <row r="24" spans="1:19" ht="13.5" customHeight="1" x14ac:dyDescent="0.25"/>
    <row r="25" spans="1:19" ht="13.5" customHeight="1" x14ac:dyDescent="0.25"/>
    <row r="26" spans="1:19" ht="13.5" customHeight="1" x14ac:dyDescent="0.25"/>
    <row r="28" spans="1:19" ht="24" customHeight="1" x14ac:dyDescent="0.25">
      <c r="C28" s="91" t="str">
        <f>"🗓️ ATIVIDADES DE HOJE — "&amp;TEXT(Painel!$B$4,"DD/MM/YYYY")</f>
        <v>🗓️ ATIVIDADES DE HOJE — 30/06/YYYY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</row>
    <row r="29" spans="1:19" ht="19.5" customHeight="1" x14ac:dyDescent="0.25">
      <c r="C29" s="62" t="s">
        <v>20</v>
      </c>
      <c r="D29" s="62" t="s">
        <v>21</v>
      </c>
      <c r="E29" s="62" t="s">
        <v>22</v>
      </c>
      <c r="F29" s="118" t="s">
        <v>23</v>
      </c>
      <c r="G29" s="118"/>
      <c r="H29" s="118"/>
      <c r="I29" s="118"/>
      <c r="J29" s="118"/>
      <c r="K29" s="118" t="s">
        <v>24</v>
      </c>
      <c r="L29" s="118"/>
      <c r="M29" s="119" t="s">
        <v>502</v>
      </c>
      <c r="N29" s="119"/>
      <c r="O29" s="119"/>
      <c r="P29" s="119"/>
      <c r="Q29" s="119"/>
      <c r="R29" s="119"/>
    </row>
    <row r="30" spans="1:19" ht="27.75" customHeight="1" x14ac:dyDescent="0.25">
      <c r="A30" s="80"/>
      <c r="B30" s="80"/>
      <c r="C30" s="81" t="str">
        <f t="array" ref="C30">IFERROR(INDEX('Log Diário'!$C$2:$C$156,SMALL(IF(('Log Diário'!$B$2:$B$156="Daniel Henrique")*('Log Diário'!$A$2:$A$156=Painel!$B$4),ROW('Log Diário'!$A$2:$A$156)-1,""),1)),"")</f>
        <v>SOLDA</v>
      </c>
      <c r="D30" s="21" t="str">
        <f t="array" ref="D30">IFERROR(INDEX('Log Diário'!$D$2:$D$156,SMALL(IF(('Log Diário'!$B$2:$B$156="Daniel Henrique")*('Log Diário'!$A$2:$A$156=Painel!$B$4),ROW('Log Diário'!$A$2:$A$156)-1,""),1)),"")</f>
        <v>Platô 2A</v>
      </c>
      <c r="E30" s="21" t="str">
        <f t="array" ref="E30">IFERROR(INDEX('Log Diário'!$E$2:$E$156,SMALL(IF(('Log Diário'!$B$2:$B$156="Daniel Henrique")*('Log Diário'!$A$2:$A$156=Painel!$B$4),ROW('Log Diário'!$A$2:$A$156)-1,""),1)),"")</f>
        <v>Gilberto</v>
      </c>
      <c r="F30" s="97" t="str">
        <f t="array" ref="F30">IFERROR(INDEX('Log Diário'!$F$2:$F$156,SMALL(IF(('Log Diário'!$B$2:$B$156="Daniel Henrique")*('Log Diário'!$A$2:$A$156=Painel!$B$4),ROW('Log Diário'!$A$2:$A$156)-1,""),1)),"")</f>
        <v>Ajuste da junta horizontal da virola 02 com 03 da caixa CX-01</v>
      </c>
      <c r="G30" s="97"/>
      <c r="H30" s="97"/>
      <c r="I30" s="97"/>
      <c r="J30" s="97"/>
      <c r="K30" s="129" t="str">
        <f t="array" ref="K30">IFERROR(INDEX('Log Diário'!$I$2:$I$156,SMALL(IF(('Log Diário'!$B$2:$B$156="Daniel Henrique")*('Log Diário'!$A$2:$A$156=Painel!$B$4),ROW('Log Diário'!$A$2:$A$156)-1,""),1)),"")</f>
        <v>Em andamento</v>
      </c>
      <c r="L30" s="129"/>
      <c r="M30" s="130" t="str">
        <f t="array" ref="M30">IFERROR(INDEX('Log Diário'!$K$2:$K$156,SMALL(IF(('Log Diário'!$B$2:$B$156="Daniel Henrique")*('Log Diário'!$A$2:$A$156=Painel!$B$4),ROW('Log Diário'!$A$2:$A$156)-1,""),1)),"")&amp;""</f>
        <v/>
      </c>
      <c r="N30" s="130"/>
      <c r="O30" s="130"/>
      <c r="P30" s="130"/>
      <c r="Q30" s="130"/>
      <c r="R30" s="130"/>
      <c r="S30" s="21"/>
    </row>
    <row r="31" spans="1:19" ht="27.75" customHeight="1" x14ac:dyDescent="0.25">
      <c r="A31" s="80"/>
      <c r="B31" s="80"/>
      <c r="C31" s="82" t="str">
        <f t="array" ref="C31">IFERROR(INDEX('Log Diário'!$C$2:$C$156,SMALL(IF(('Log Diário'!$B$2:$B$156="Daniel Henrique")*('Log Diário'!$A$2:$A$156=Painel!$B$4),ROW('Log Diário'!$A$2:$A$156)-1,""),2)),"")</f>
        <v>SOLDA</v>
      </c>
      <c r="D31" s="26" t="str">
        <f t="array" ref="D31">IFERROR(INDEX('Log Diário'!$D$2:$D$156,SMALL(IF(('Log Diário'!$B$2:$B$156="Daniel Henrique")*('Log Diário'!$A$2:$A$156=Painel!$B$4),ROW('Log Diário'!$A$2:$A$156)-1,""),2)),"")</f>
        <v>Platô 2A</v>
      </c>
      <c r="E31" s="26" t="str">
        <f t="array" ref="E31">IFERROR(INDEX('Log Diário'!$E$2:$E$156,SMALL(IF(('Log Diário'!$B$2:$B$156="Daniel Henrique")*('Log Diário'!$A$2:$A$156=Painel!$B$4),ROW('Log Diário'!$A$2:$A$156)-1,""),2)),"")</f>
        <v>Gilberto</v>
      </c>
      <c r="F31" s="99" t="str">
        <f t="array" ref="F31">IFERROR(INDEX('Log Diário'!$F$2:$F$156,SMALL(IF(('Log Diário'!$B$2:$B$156="Daniel Henrique")*('Log Diário'!$A$2:$A$156=Painel!$B$4),ROW('Log Diário'!$A$2:$A$156)-1,""),2)),"")</f>
        <v>Ajuste da junta horizontal da virola 01 com virola 02 da caixa CX-02</v>
      </c>
      <c r="G31" s="99"/>
      <c r="H31" s="99"/>
      <c r="I31" s="99"/>
      <c r="J31" s="99"/>
      <c r="K31" s="129" t="str">
        <f t="array" ref="K31">IFERROR(INDEX('Log Diário'!$I$2:$I$156,SMALL(IF(('Log Diário'!$B$2:$B$156="Daniel Henrique")*('Log Diário'!$A$2:$A$156=Painel!$B$4),ROW('Log Diário'!$A$2:$A$156)-1,""),2)),"")</f>
        <v>Inspecionado OK</v>
      </c>
      <c r="L31" s="129"/>
      <c r="M31" s="149" t="str">
        <f t="array" ref="M31">IFERROR(INDEX('Log Diário'!$K$2:$K$156,SMALL(IF(('Log Diário'!$B$2:$B$156="Daniel Henrique")*('Log Diário'!$A$2:$A$156=Painel!$B$4),ROW('Log Diário'!$A$2:$A$156)-1,""),2)),"")&amp;""</f>
        <v/>
      </c>
      <c r="N31" s="149"/>
      <c r="O31" s="149"/>
      <c r="P31" s="149"/>
      <c r="Q31" s="149"/>
      <c r="R31" s="149"/>
      <c r="S31" s="26"/>
    </row>
    <row r="32" spans="1:19" ht="27.75" customHeight="1" x14ac:dyDescent="0.25">
      <c r="A32" s="80"/>
      <c r="B32" s="80"/>
      <c r="C32" s="81" t="str">
        <f t="array" ref="C32">IFERROR(INDEX('Log Diário'!$C$2:$C$156,SMALL(IF(('Log Diário'!$B$2:$B$156="Daniel Henrique")*('Log Diário'!$A$2:$A$156=Painel!$B$4),ROW('Log Diário'!$A$2:$A$156)-1,""),3)),"")</f>
        <v>SOLDA</v>
      </c>
      <c r="D32" s="21" t="str">
        <f t="array" ref="D32">IFERROR(INDEX('Log Diário'!$D$2:$D$156,SMALL(IF(('Log Diário'!$B$2:$B$156="Daniel Henrique")*('Log Diário'!$A$2:$A$156=Painel!$B$4),ROW('Log Diário'!$A$2:$A$156)-1,""),3)),"")</f>
        <v>Platô 2A</v>
      </c>
      <c r="E32" s="21" t="str">
        <f t="array" ref="E32">IFERROR(INDEX('Log Diário'!$E$2:$E$156,SMALL(IF(('Log Diário'!$B$2:$B$156="Daniel Henrique")*('Log Diário'!$A$2:$A$156=Painel!$B$4),ROW('Log Diário'!$A$2:$A$156)-1,""),3)),"")</f>
        <v>Gilberto</v>
      </c>
      <c r="F32" s="97" t="str">
        <f t="array" ref="F32">IFERROR(INDEX('Log Diário'!$F$2:$F$156,SMALL(IF(('Log Diário'!$B$2:$B$156="Daniel Henrique")*('Log Diário'!$A$2:$A$156=Painel!$B$4),ROW('Log Diário'!$A$2:$A$156)-1,""),3)),"")</f>
        <v>Montagem da virola 03 da caixa CX-02</v>
      </c>
      <c r="G32" s="97"/>
      <c r="H32" s="97"/>
      <c r="I32" s="97"/>
      <c r="J32" s="97"/>
      <c r="K32" s="129" t="str">
        <f t="array" ref="K32">IFERROR(INDEX('Log Diário'!$I$2:$I$156,SMALL(IF(('Log Diário'!$B$2:$B$156="Daniel Henrique")*('Log Diário'!$A$2:$A$156=Painel!$B$4),ROW('Log Diário'!$A$2:$A$156)-1,""),3)),"")</f>
        <v>Em andamento</v>
      </c>
      <c r="L32" s="129"/>
      <c r="M32" s="130" t="str">
        <f t="array" ref="M32">IFERROR(INDEX('Log Diário'!$K$2:$K$156,SMALL(IF(('Log Diário'!$B$2:$B$156="Daniel Henrique")*('Log Diário'!$A$2:$A$156=Painel!$B$4),ROW('Log Diário'!$A$2:$A$156)-1,""),3)),"")&amp;""</f>
        <v/>
      </c>
      <c r="N32" s="130"/>
      <c r="O32" s="130"/>
      <c r="P32" s="130"/>
      <c r="Q32" s="130"/>
      <c r="R32" s="130"/>
      <c r="S32" s="21"/>
    </row>
    <row r="33" spans="1:19" ht="27.75" customHeight="1" x14ac:dyDescent="0.25">
      <c r="A33" s="80"/>
      <c r="B33" s="80"/>
      <c r="C33" s="82" t="str">
        <f t="array" ref="C33">IFERROR(INDEX('Log Diário'!$C$2:$C$156,SMALL(IF(('Log Diário'!$B$2:$B$156="Daniel Henrique")*('Log Diário'!$A$2:$A$156=Painel!$B$4),ROW('Log Diário'!$A$2:$A$156)-1,""),4)),"")</f>
        <v>SOLDA</v>
      </c>
      <c r="D33" s="26" t="str">
        <f t="array" ref="D33">IFERROR(INDEX('Log Diário'!$D$2:$D$156,SMALL(IF(('Log Diário'!$B$2:$B$156="Daniel Henrique")*('Log Diário'!$A$2:$A$156=Painel!$B$4),ROW('Log Diário'!$A$2:$A$156)-1,""),4)),"")</f>
        <v>Platô 2A</v>
      </c>
      <c r="E33" s="26" t="str">
        <f t="array" ref="E33">IFERROR(INDEX('Log Diário'!$E$2:$E$156,SMALL(IF(('Log Diário'!$B$2:$B$156="Daniel Henrique")*('Log Diário'!$A$2:$A$156=Painel!$B$4),ROW('Log Diário'!$A$2:$A$156)-1,""),4)),"")</f>
        <v>Gilberto</v>
      </c>
      <c r="F33" s="99" t="str">
        <f t="array" ref="F33">IFERROR(INDEX('Log Diário'!$F$2:$F$156,SMALL(IF(('Log Diário'!$B$2:$B$156="Daniel Henrique")*('Log Diário'!$A$2:$A$156=Painel!$B$4),ROW('Log Diário'!$A$2:$A$156)-1,""),4)),"")</f>
        <v>Ajuste das juntas verticais da calha CX-01 — em fase de soldagem</v>
      </c>
      <c r="G33" s="99"/>
      <c r="H33" s="99"/>
      <c r="I33" s="99"/>
      <c r="J33" s="99"/>
      <c r="K33" s="129" t="str">
        <f t="array" ref="K33">IFERROR(INDEX('Log Diário'!$I$2:$I$156,SMALL(IF(('Log Diário'!$B$2:$B$156="Daniel Henrique")*('Log Diário'!$A$2:$A$156=Painel!$B$4),ROW('Log Diário'!$A$2:$A$156)-1,""),4)),"")</f>
        <v>Inspecionado OK</v>
      </c>
      <c r="L33" s="129"/>
      <c r="M33" s="149" t="str">
        <f t="array" ref="M33">IFERROR(INDEX('Log Diário'!$K$2:$K$156,SMALL(IF(('Log Diário'!$B$2:$B$156="Daniel Henrique")*('Log Diário'!$A$2:$A$156=Painel!$B$4),ROW('Log Diário'!$A$2:$A$156)-1,""),4)),"")&amp;""</f>
        <v>⚠️ POSSÍVEL ASSUNTO CHECK-IN: Emitido QTO devido a abertura excessiva</v>
      </c>
      <c r="N33" s="149"/>
      <c r="O33" s="149"/>
      <c r="P33" s="149"/>
      <c r="Q33" s="149"/>
      <c r="R33" s="149"/>
      <c r="S33" s="26"/>
    </row>
    <row r="34" spans="1:19" ht="27.75" customHeight="1" x14ac:dyDescent="0.25">
      <c r="A34" s="80"/>
      <c r="B34" s="80"/>
      <c r="C34" s="81" t="str">
        <f t="array" ref="C34">IFERROR(INDEX('Log Diário'!$C$2:$C$156,SMALL(IF(('Log Diário'!$B$2:$B$156="Daniel Henrique")*('Log Diário'!$A$2:$A$156=Painel!$B$4),ROW('Log Diário'!$A$2:$A$156)-1,""),5)),"")</f>
        <v>SOLDA</v>
      </c>
      <c r="D34" s="21" t="str">
        <f t="array" ref="D34">IFERROR(INDEX('Log Diário'!$D$2:$D$156,SMALL(IF(('Log Diário'!$B$2:$B$156="Daniel Henrique")*('Log Diário'!$A$2:$A$156=Painel!$B$4),ROW('Log Diário'!$A$2:$A$156)-1,""),5)),"")</f>
        <v>Platô 2A</v>
      </c>
      <c r="E34" s="21" t="str">
        <f t="array" ref="E34">IFERROR(INDEX('Log Diário'!$E$2:$E$156,SMALL(IF(('Log Diário'!$B$2:$B$156="Daniel Henrique")*('Log Diário'!$A$2:$A$156=Painel!$B$4),ROW('Log Diário'!$A$2:$A$156)-1,""),5)),"")</f>
        <v>Gilberto</v>
      </c>
      <c r="F34" s="97" t="str">
        <f t="array" ref="F34">IFERROR(INDEX('Log Diário'!$F$2:$F$156,SMALL(IF(('Log Diário'!$B$2:$B$156="Daniel Henrique")*('Log Diário'!$A$2:$A$156=Painel!$B$4),ROW('Log Diário'!$A$2:$A$156)-1,""),5)),"")</f>
        <v>Ajuste das juntas verticais da calha da caixa CX-02</v>
      </c>
      <c r="G34" s="97"/>
      <c r="H34" s="97"/>
      <c r="I34" s="97"/>
      <c r="J34" s="97"/>
      <c r="K34" s="129" t="str">
        <f t="array" ref="K34">IFERROR(INDEX('Log Diário'!$I$2:$I$156,SMALL(IF(('Log Diário'!$B$2:$B$156="Daniel Henrique")*('Log Diário'!$A$2:$A$156=Painel!$B$4),ROW('Log Diário'!$A$2:$A$156)-1,""),5)),"")</f>
        <v>Em andamento</v>
      </c>
      <c r="L34" s="129"/>
      <c r="M34" s="130" t="str">
        <f t="array" ref="M34">IFERROR(INDEX('Log Diário'!$K$2:$K$156,SMALL(IF(('Log Diário'!$B$2:$B$156="Daniel Henrique")*('Log Diário'!$A$2:$A$156=Painel!$B$4),ROW('Log Diário'!$A$2:$A$156)-1,""),5)),"")&amp;""</f>
        <v/>
      </c>
      <c r="N34" s="130"/>
      <c r="O34" s="130"/>
      <c r="P34" s="130"/>
      <c r="Q34" s="130"/>
      <c r="R34" s="130"/>
      <c r="S34" s="21"/>
    </row>
    <row r="35" spans="1:19" ht="27.75" customHeight="1" x14ac:dyDescent="0.25">
      <c r="A35" s="80"/>
      <c r="B35" s="80"/>
      <c r="C35" s="82" t="str">
        <f t="array" ref="C35">IFERROR(INDEX('Log Diário'!$C$2:$C$156,SMALL(IF(('Log Diário'!$B$2:$B$156="Daniel Henrique")*('Log Diário'!$A$2:$A$156=Painel!$B$4),ROW('Log Diário'!$A$2:$A$156)-1,""),6)),"")</f>
        <v>TUB</v>
      </c>
      <c r="D35" s="26" t="str">
        <f t="array" ref="D35">IFERROR(INDEX('Log Diário'!$D$2:$D$156,SMALL(IF(('Log Diário'!$B$2:$B$156="Daniel Henrique")*('Log Diário'!$A$2:$A$156=Painel!$B$4),ROW('Log Diário'!$A$2:$A$156)-1,""),6)),"")</f>
        <v>Platô 2A</v>
      </c>
      <c r="E35" s="26" t="str">
        <f t="array" ref="E35">IFERROR(INDEX('Log Diário'!$E$2:$E$156,SMALL(IF(('Log Diário'!$B$2:$B$156="Daniel Henrique")*('Log Diário'!$A$2:$A$156=Painel!$B$4),ROW('Log Diário'!$A$2:$A$156)-1,""),6)),"")</f>
        <v>Gilberto</v>
      </c>
      <c r="F35" s="99" t="str">
        <f t="array" ref="F35">IFERROR(INDEX('Log Diário'!$F$2:$F$156,SMALL(IF(('Log Diário'!$B$2:$B$156="Daniel Henrique")*('Log Diário'!$A$2:$A$156=Painel!$B$4),ROW('Log Diário'!$A$2:$A$156)-1,""),6)),"")</f>
        <v>Montagem da tubulação de spray da calha da coluna de Flotação FC-20</v>
      </c>
      <c r="G35" s="99"/>
      <c r="H35" s="99"/>
      <c r="I35" s="99"/>
      <c r="J35" s="99"/>
      <c r="K35" s="129" t="str">
        <f t="array" ref="K35">IFERROR(INDEX('Log Diário'!$I$2:$I$156,SMALL(IF(('Log Diário'!$B$2:$B$156="Daniel Henrique")*('Log Diário'!$A$2:$A$156=Painel!$B$4),ROW('Log Diário'!$A$2:$A$156)-1,""),6)),"")</f>
        <v>Em andamento</v>
      </c>
      <c r="L35" s="129"/>
      <c r="M35" s="149" t="str">
        <f t="array" ref="M35">IFERROR(INDEX('Log Diário'!$K$2:$K$156,SMALL(IF(('Log Diário'!$B$2:$B$156="Daniel Henrique")*('Log Diário'!$A$2:$A$156=Painel!$B$4),ROW('Log Diário'!$A$2:$A$156)-1,""),6)),"")&amp;""</f>
        <v/>
      </c>
      <c r="N35" s="149"/>
      <c r="O35" s="149"/>
      <c r="P35" s="149"/>
      <c r="Q35" s="149"/>
      <c r="R35" s="149"/>
      <c r="S35" s="26"/>
    </row>
    <row r="36" spans="1:19" ht="27.75" customHeight="1" x14ac:dyDescent="0.25">
      <c r="A36" s="77"/>
      <c r="B36" s="77"/>
      <c r="C36" s="77" t="str">
        <f t="array" ref="C36">IFERROR(INDEX('Log Diário'!$C$2:$C$156,SMALL(IF(('Log Diário'!$B$2:$B$156="Daniel Henrique")*('Log Diário'!$A$2:$A$156=Painel!$B$4),ROW('Log Diário'!$A$2:$A$156)-1,""),7)),"")</f>
        <v>TUB</v>
      </c>
      <c r="D36" s="77" t="str">
        <f t="array" ref="D36">IFERROR(INDEX('Log Diário'!$D$2:$D$156,SMALL(IF(('Log Diário'!$B$2:$B$156="Daniel Henrique")*('Log Diário'!$A$2:$A$156=Painel!$B$4),ROW('Log Diário'!$A$2:$A$156)-1,""),7)),"")</f>
        <v>Platô 2A</v>
      </c>
      <c r="E36" s="77" t="str">
        <f t="array" ref="E36">IFERROR(INDEX('Log Diário'!$E$2:$E$156,SMALL(IF(('Log Diário'!$B$2:$B$156="Daniel Henrique")*('Log Diário'!$A$2:$A$156=Painel!$B$4),ROW('Log Diário'!$A$2:$A$156)-1,""),7)),"")</f>
        <v>Gilberto</v>
      </c>
      <c r="F36" s="120" t="str">
        <f t="array" ref="F36">IFERROR(INDEX('Log Diário'!$F$2:$F$156,SMALL(IF(('Log Diário'!$B$2:$B$156="Daniel Henrique")*('Log Diário'!$A$2:$A$156=Painel!$B$4),ROW('Log Diário'!$A$2:$A$156)-1,""),7)),"")</f>
        <v>Pré-montagem da tubulação de alimentação da Coluna de Flotação FC-17 e FC-18</v>
      </c>
      <c r="G36" s="120"/>
      <c r="H36" s="120"/>
      <c r="I36" s="120"/>
      <c r="J36" s="120"/>
      <c r="K36" s="121" t="str">
        <f t="array" ref="K36">IFERROR(INDEX('Log Diário'!$I$2:$I$156,SMALL(IF(('Log Diário'!$B$2:$B$156="Daniel Henrique")*('Log Diário'!$A$2:$A$156=Painel!$B$4),ROW('Log Diário'!$A$2:$A$156)-1,""),7)),"")</f>
        <v>Em andamento</v>
      </c>
      <c r="L36" s="121"/>
      <c r="M36" s="120" t="str">
        <f t="array" ref="M36">IFERROR(INDEX('Log Diário'!$K$2:$K$156,SMALL(IF(('Log Diário'!$B$2:$B$156="Daniel Henrique")*('Log Diário'!$A$2:$A$156=Painel!$B$4),ROW('Log Diário'!$A$2:$A$156)-1,""),7)),"")&amp;""</f>
        <v/>
      </c>
      <c r="N36" s="120"/>
      <c r="O36" s="120"/>
      <c r="P36" s="120"/>
      <c r="Q36" s="120"/>
      <c r="R36" s="120"/>
      <c r="S36" s="77"/>
    </row>
    <row r="37" spans="1:19" ht="27.75" customHeight="1" x14ac:dyDescent="0.25">
      <c r="A37" s="77"/>
      <c r="B37" s="77"/>
      <c r="C37" s="77" t="str">
        <f t="array" ref="C37">IFERROR(INDEX('Log Diário'!$C$2:$C$156,SMALL(IF(('Log Diário'!$B$2:$B$156="Daniel Henrique")*('Log Diário'!$A$2:$A$156=Painel!$B$4),ROW('Log Diário'!$A$2:$A$156)-1,""),8)),"")</f>
        <v>MEC</v>
      </c>
      <c r="D37" s="77" t="str">
        <f t="array" ref="D37">IFERROR(INDEX('Log Diário'!$D$2:$D$156,SMALL(IF(('Log Diário'!$B$2:$B$156="Daniel Henrique")*('Log Diário'!$A$2:$A$156=Painel!$B$4),ROW('Log Diário'!$A$2:$A$156)-1,""),8)),"")</f>
        <v>Platô 2A</v>
      </c>
      <c r="E37" s="77" t="str">
        <f t="array" ref="E37">IFERROR(INDEX('Log Diário'!$E$2:$E$156,SMALL(IF(('Log Diário'!$B$2:$B$156="Daniel Henrique")*('Log Diário'!$A$2:$A$156=Painel!$B$4),ROW('Log Diário'!$A$2:$A$156)-1,""),8)),"")</f>
        <v>Gilberto</v>
      </c>
      <c r="F37" s="120" t="str">
        <f t="array" ref="F37">IFERROR(INDEX('Log Diário'!$F$2:$F$156,SMALL(IF(('Log Diário'!$B$2:$B$156="Daniel Henrique")*('Log Diário'!$A$2:$A$156=Painel!$B$4),ROW('Log Diário'!$A$2:$A$156)-1,""),8)),"")</f>
        <v>Montagem e torque nos parafusos do distribuidor na Coluna de Flotação FC-20</v>
      </c>
      <c r="G37" s="120"/>
      <c r="H37" s="120"/>
      <c r="I37" s="120"/>
      <c r="J37" s="120"/>
      <c r="K37" s="121" t="str">
        <f t="array" ref="K37">IFERROR(INDEX('Log Diário'!$I$2:$I$156,SMALL(IF(('Log Diário'!$B$2:$B$156="Daniel Henrique")*('Log Diário'!$A$2:$A$156=Painel!$B$4),ROW('Log Diário'!$A$2:$A$156)-1,""),8)),"")</f>
        <v>Inspecionado OK</v>
      </c>
      <c r="L37" s="121"/>
      <c r="M37" s="120" t="str">
        <f t="array" ref="M37">IFERROR(INDEX('Log Diário'!$K$2:$K$156,SMALL(IF(('Log Diário'!$B$2:$B$156="Daniel Henrique")*('Log Diário'!$A$2:$A$156=Painel!$B$4),ROW('Log Diário'!$A$2:$A$156)-1,""),8)),"")&amp;""</f>
        <v/>
      </c>
      <c r="N37" s="120"/>
      <c r="O37" s="120"/>
      <c r="P37" s="120"/>
      <c r="Q37" s="120"/>
      <c r="R37" s="120"/>
      <c r="S37" s="77"/>
    </row>
    <row r="38" spans="1:19" ht="3" customHeight="1" x14ac:dyDescent="0.25">
      <c r="A38" s="77"/>
      <c r="B38" s="77"/>
      <c r="C38" s="77" t="str">
        <f t="array" ref="C38">IFERROR(INDEX('Log Diário'!$C$2:$C$156,SMALL(IF(('Log Diário'!$B$2:$B$156="Daniel Henrique")*('Log Diário'!$A$2:$A$156=Painel!$B$4),ROW('Log Diário'!$A$2:$A$156)-1,""),9)),"")</f>
        <v/>
      </c>
      <c r="D38" s="77" t="str">
        <f t="array" ref="D38">IFERROR(INDEX('Log Diário'!$D$2:$D$156,SMALL(IF(('Log Diário'!$B$2:$B$156="Daniel Henrique")*('Log Diário'!$A$2:$A$156=Painel!$B$4),ROW('Log Diário'!$A$2:$A$156)-1,""),9)),"")</f>
        <v/>
      </c>
      <c r="E38" s="77" t="str">
        <f t="array" ref="E38">IFERROR(INDEX('Log Diário'!$E$2:$E$156,SMALL(IF(('Log Diário'!$B$2:$B$156="Daniel Henrique")*('Log Diário'!$A$2:$A$156=Painel!$B$4),ROW('Log Diário'!$A$2:$A$156)-1,""),9)),"")</f>
        <v/>
      </c>
      <c r="F38" s="120" t="str">
        <f t="array" ref="F38">IFERROR(INDEX('Log Diário'!$F$2:$F$156,SMALL(IF(('Log Diário'!$B$2:$B$156="Daniel Henrique")*('Log Diário'!$A$2:$A$156=Painel!$B$4),ROW('Log Diário'!$A$2:$A$156)-1,""),9)),"")</f>
        <v/>
      </c>
      <c r="G38" s="120"/>
      <c r="H38" s="120"/>
      <c r="I38" s="120"/>
      <c r="J38" s="120"/>
      <c r="K38" s="121" t="str">
        <f t="array" ref="K38">IFERROR(INDEX('Log Diário'!$I$2:$I$156,SMALL(IF(('Log Diário'!$B$2:$B$156="Daniel Henrique")*('Log Diário'!$A$2:$A$156=Painel!$B$4),ROW('Log Diário'!$A$2:$A$156)-1,""),9)),"")</f>
        <v/>
      </c>
      <c r="L38" s="121"/>
      <c r="M38" s="120" t="str">
        <f t="array" ref="M38">IFERROR(INDEX('Log Diário'!$K$2:$K$156,SMALL(IF(('Log Diário'!$B$2:$B$156="Daniel Henrique")*('Log Diário'!$A$2:$A$156=Painel!$B$4),ROW('Log Diário'!$A$2:$A$156)-1,""),9)),"")&amp;""</f>
        <v/>
      </c>
      <c r="N38" s="120"/>
      <c r="O38" s="120"/>
      <c r="P38" s="120"/>
      <c r="Q38" s="120"/>
      <c r="R38" s="120"/>
      <c r="S38" s="77"/>
    </row>
    <row r="39" spans="1:19" ht="3" customHeight="1" x14ac:dyDescent="0.25">
      <c r="A39" s="77"/>
      <c r="B39" s="77"/>
      <c r="C39" s="77" t="str">
        <f t="array" ref="C39">IFERROR(INDEX('Log Diário'!$C$2:$C$156,SMALL(IF(('Log Diário'!$B$2:$B$156="Daniel Henrique")*('Log Diário'!$A$2:$A$156=Painel!$B$4),ROW('Log Diário'!$A$2:$A$156)-1,""),10)),"")</f>
        <v/>
      </c>
      <c r="D39" s="77" t="str">
        <f t="array" ref="D39">IFERROR(INDEX('Log Diário'!$D$2:$D$156,SMALL(IF(('Log Diário'!$B$2:$B$156="Daniel Henrique")*('Log Diário'!$A$2:$A$156=Painel!$B$4),ROW('Log Diário'!$A$2:$A$156)-1,""),10)),"")</f>
        <v/>
      </c>
      <c r="E39" s="77" t="str">
        <f t="array" ref="E39">IFERROR(INDEX('Log Diário'!$E$2:$E$156,SMALL(IF(('Log Diário'!$B$2:$B$156="Daniel Henrique")*('Log Diário'!$A$2:$A$156=Painel!$B$4),ROW('Log Diário'!$A$2:$A$156)-1,""),10)),"")</f>
        <v/>
      </c>
      <c r="F39" s="120" t="str">
        <f t="array" ref="F39">IFERROR(INDEX('Log Diário'!$F$2:$F$156,SMALL(IF(('Log Diário'!$B$2:$B$156="Daniel Henrique")*('Log Diário'!$A$2:$A$156=Painel!$B$4),ROW('Log Diário'!$A$2:$A$156)-1,""),10)),"")</f>
        <v/>
      </c>
      <c r="G39" s="120"/>
      <c r="H39" s="120"/>
      <c r="I39" s="120"/>
      <c r="J39" s="120"/>
      <c r="K39" s="121" t="str">
        <f t="array" ref="K39">IFERROR(INDEX('Log Diário'!$I$2:$I$156,SMALL(IF(('Log Diário'!$B$2:$B$156="Daniel Henrique")*('Log Diário'!$A$2:$A$156=Painel!$B$4),ROW('Log Diário'!$A$2:$A$156)-1,""),10)),"")</f>
        <v/>
      </c>
      <c r="L39" s="121"/>
      <c r="M39" s="120" t="str">
        <f t="array" ref="M39">IFERROR(INDEX('Log Diário'!$K$2:$K$156,SMALL(IF(('Log Diário'!$B$2:$B$156="Daniel Henrique")*('Log Diário'!$A$2:$A$156=Painel!$B$4),ROW('Log Diário'!$A$2:$A$156)-1,""),10)),"")&amp;""</f>
        <v/>
      </c>
      <c r="N39" s="120"/>
      <c r="O39" s="120"/>
      <c r="P39" s="120"/>
      <c r="Q39" s="120"/>
      <c r="R39" s="120"/>
      <c r="S39" s="77"/>
    </row>
    <row r="41" spans="1:19" ht="21.75" customHeight="1" x14ac:dyDescent="0.25">
      <c r="C41" s="122" t="str">
        <f>IF(COUNTIFS('Log Diário'!$B$2:$B$699,"Daniel Henrique",'Log Diário'!$A$2:$A$699,Painel!$B$4)=0,"⚠ Nenhuma atividade registrada para "&amp;TEXT(Painel!$B$4,"DD/MM/YYYY")&amp;" — relatório diário pendente","")</f>
        <v/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</row>
    <row r="42" spans="1:19" ht="15" customHeight="1" x14ac:dyDescent="0.25">
      <c r="C42" s="123" t="s">
        <v>503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</row>
    <row r="199" spans="3:4" ht="15" customHeight="1" x14ac:dyDescent="0.25">
      <c r="C199" s="78" t="s">
        <v>504</v>
      </c>
      <c r="D199" s="78" t="s">
        <v>505</v>
      </c>
    </row>
    <row r="200" spans="3:4" ht="15" customHeight="1" x14ac:dyDescent="0.25">
      <c r="C200" s="79" t="str">
        <f>IF(D200=0,"","Não iniciado")</f>
        <v/>
      </c>
      <c r="D200" s="79">
        <f>COUNTIFS('Log Diário'!$B$2:$B$699,"Daniel Henrique",'Log Diário'!$A$2:$A$699,Painel!$B$4,'Log Diário'!$I$2:$I$699,"Não iniciado")</f>
        <v>0</v>
      </c>
    </row>
    <row r="201" spans="3:4" ht="15" customHeight="1" x14ac:dyDescent="0.25">
      <c r="C201" s="79" t="str">
        <f>IF(D201=0,"","Em andamento")</f>
        <v>Em andamento</v>
      </c>
      <c r="D201" s="79">
        <f>COUNTIFS('Log Diário'!$B$2:$B$699,"Daniel Henrique",'Log Diário'!$A$2:$A$699,Painel!$B$4,'Log Diário'!$I$2:$I$699,"Em andamento")</f>
        <v>5</v>
      </c>
    </row>
    <row r="202" spans="3:4" ht="15" customHeight="1" x14ac:dyDescent="0.25">
      <c r="C202" s="79" t="str">
        <f>IF(D202=0,"","Acompanhamento")</f>
        <v/>
      </c>
      <c r="D202" s="79">
        <f>COUNTIFS('Log Diário'!$B$2:$B$699,"Daniel Henrique",'Log Diário'!$A$2:$A$699,Painel!$B$4,'Log Diário'!$I$2:$I$699,"Acompanhamento")</f>
        <v>0</v>
      </c>
    </row>
    <row r="203" spans="3:4" ht="15" customHeight="1" x14ac:dyDescent="0.25">
      <c r="C203" s="79" t="str">
        <f>IF(D203=0,"","Inspecionado OK")</f>
        <v>Inspecionado OK</v>
      </c>
      <c r="D203" s="79">
        <f>COUNTIFS('Log Diário'!$B$2:$B$699,"Daniel Henrique",'Log Diário'!$A$2:$A$699,Painel!$B$4,'Log Diário'!$I$2:$I$699,"Inspecionado OK")</f>
        <v>3</v>
      </c>
    </row>
    <row r="204" spans="3:4" ht="15" customHeight="1" x14ac:dyDescent="0.25">
      <c r="C204" s="79" t="str">
        <f>IF(D204=0,"","Pendência")</f>
        <v/>
      </c>
      <c r="D204" s="79">
        <f>COUNTIFS('Log Diário'!$B$2:$B$699,"Daniel Henrique",'Log Diário'!$A$2:$A$699,Painel!$B$4,'Log Diário'!$I$2:$I$699,"Pendência")</f>
        <v>0</v>
      </c>
    </row>
    <row r="205" spans="3:4" ht="15" customHeight="1" x14ac:dyDescent="0.25">
      <c r="C205" s="79" t="str">
        <f>IF(D205=0,"","Reprovado")</f>
        <v/>
      </c>
      <c r="D205" s="79">
        <f>COUNTIFS('Log Diário'!$B$2:$B$699,"Daniel Henrique",'Log Diário'!$A$2:$A$699,Painel!$B$4,'Log Diário'!$I$2:$I$699,"Reprovado")</f>
        <v>0</v>
      </c>
    </row>
  </sheetData>
  <mergeCells count="52">
    <mergeCell ref="F39:J39"/>
    <mergeCell ref="K39:L39"/>
    <mergeCell ref="M39:R39"/>
    <mergeCell ref="C41:N41"/>
    <mergeCell ref="C42:N42"/>
    <mergeCell ref="F37:J37"/>
    <mergeCell ref="K37:L37"/>
    <mergeCell ref="M37:R37"/>
    <mergeCell ref="F38:J38"/>
    <mergeCell ref="K38:L38"/>
    <mergeCell ref="M38:R38"/>
    <mergeCell ref="F35:J35"/>
    <mergeCell ref="K35:L35"/>
    <mergeCell ref="M35:R35"/>
    <mergeCell ref="F36:J36"/>
    <mergeCell ref="K36:L36"/>
    <mergeCell ref="M36:R36"/>
    <mergeCell ref="F33:J33"/>
    <mergeCell ref="K33:L33"/>
    <mergeCell ref="M33:R33"/>
    <mergeCell ref="F34:J34"/>
    <mergeCell ref="K34:L34"/>
    <mergeCell ref="M34:R34"/>
    <mergeCell ref="F31:J31"/>
    <mergeCell ref="K31:L31"/>
    <mergeCell ref="M31:R31"/>
    <mergeCell ref="F32:J32"/>
    <mergeCell ref="K32:L32"/>
    <mergeCell ref="M32:R32"/>
    <mergeCell ref="F29:J29"/>
    <mergeCell ref="K29:L29"/>
    <mergeCell ref="M29:R29"/>
    <mergeCell ref="F30:J30"/>
    <mergeCell ref="K30:L30"/>
    <mergeCell ref="M30:R30"/>
    <mergeCell ref="H12:N12"/>
    <mergeCell ref="H13:N14"/>
    <mergeCell ref="H15:N15"/>
    <mergeCell ref="H16:N17"/>
    <mergeCell ref="C28:N28"/>
    <mergeCell ref="C6:F8"/>
    <mergeCell ref="G6:J8"/>
    <mergeCell ref="K6:N8"/>
    <mergeCell ref="C9:N9"/>
    <mergeCell ref="C10:N10"/>
    <mergeCell ref="C1:N1"/>
    <mergeCell ref="C2:N2"/>
    <mergeCell ref="C3:L3"/>
    <mergeCell ref="M3:N3"/>
    <mergeCell ref="C5:F5"/>
    <mergeCell ref="G5:J5"/>
    <mergeCell ref="K5:N5"/>
  </mergeCells>
  <conditionalFormatting sqref="A30:R39">
    <cfRule type="expression" dxfId="29" priority="36">
      <formula>$C30=""</formula>
    </cfRule>
  </conditionalFormatting>
  <conditionalFormatting sqref="K30:L39">
    <cfRule type="cellIs" dxfId="28" priority="2" operator="equal">
      <formula>"Não iniciado"</formula>
    </cfRule>
    <cfRule type="cellIs" dxfId="27" priority="3" operator="equal">
      <formula>"Em andamento"</formula>
    </cfRule>
    <cfRule type="cellIs" dxfId="26" priority="4" operator="equal">
      <formula>"Acompanhamento"</formula>
    </cfRule>
    <cfRule type="cellIs" dxfId="25" priority="5" operator="equal">
      <formula>"Inspecionado OK"</formula>
    </cfRule>
    <cfRule type="cellIs" dxfId="24" priority="6" operator="equal">
      <formula>"Pendência"</formula>
    </cfRule>
    <cfRule type="cellIs" dxfId="23" priority="7" operator="equal">
      <formula>"Reprovado"</formula>
    </cfRule>
    <cfRule type="cellIs" dxfId="22" priority="16" operator="equal">
      <formula>"Reprovado parcial"</formula>
    </cfRule>
    <cfRule type="cellIs" dxfId="21" priority="17" operator="equal">
      <formula>"Recebido"</formula>
    </cfRule>
    <cfRule type="cellIs" dxfId="20" priority="18" operator="equal">
      <formula>"Recebido parcial"</formula>
    </cfRule>
    <cfRule type="cellIs" dxfId="19" priority="11" operator="equal">
      <formula>"Finalizado"</formula>
    </cfRule>
    <cfRule type="cellIs" dxfId="18" priority="12" operator="equal">
      <formula>"Aprovado"</formula>
    </cfRule>
    <cfRule type="cellIs" dxfId="17" priority="19" operator="equal">
      <formula>"Inspecionado"</formula>
    </cfRule>
    <cfRule type="cellIs" dxfId="16" priority="15" operator="equal">
      <formula>"Não finalizado"</formula>
    </cfRule>
  </conditionalFormatting>
  <conditionalFormatting sqref="M30:R39">
    <cfRule type="expression" dxfId="15" priority="20">
      <formula>NOT(ISERROR(SEARCH("CHECK-IN",M30)))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205"/>
  <sheetViews>
    <sheetView showGridLines="0" zoomScaleNormal="100" workbookViewId="0"/>
  </sheetViews>
  <sheetFormatPr defaultColWidth="8.7109375" defaultRowHeight="15" x14ac:dyDescent="0.25"/>
  <cols>
    <col min="1" max="2" width="3" customWidth="1"/>
    <col min="3" max="14" width="11" customWidth="1"/>
    <col min="15" max="18" width="14" customWidth="1"/>
  </cols>
  <sheetData>
    <row r="1" spans="3:14" ht="36" customHeight="1" x14ac:dyDescent="0.25">
      <c r="C1" s="131" t="s">
        <v>515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</row>
    <row r="2" spans="3:14" ht="21.75" customHeight="1" x14ac:dyDescent="0.25">
      <c r="C2" s="106" t="s">
        <v>511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3:14" ht="21.75" customHeight="1" x14ac:dyDescent="0.25">
      <c r="C3" s="107" t="s">
        <v>497</v>
      </c>
      <c r="D3" s="107"/>
      <c r="E3" s="107"/>
      <c r="F3" s="107"/>
      <c r="G3" s="107"/>
      <c r="H3" s="107"/>
      <c r="I3" s="107"/>
      <c r="J3" s="107"/>
      <c r="K3" s="107"/>
      <c r="L3" s="107"/>
      <c r="M3" s="108">
        <f>Painel!$B$4</f>
        <v>46203</v>
      </c>
      <c r="N3" s="108"/>
    </row>
    <row r="4" spans="3:14" ht="6" customHeight="1" x14ac:dyDescent="0.25"/>
    <row r="5" spans="3:14" ht="19.5" customHeight="1" x14ac:dyDescent="0.25">
      <c r="C5" s="132" t="s">
        <v>8</v>
      </c>
      <c r="D5" s="132"/>
      <c r="E5" s="132"/>
      <c r="F5" s="132"/>
      <c r="G5" s="109" t="s">
        <v>498</v>
      </c>
      <c r="H5" s="109"/>
      <c r="I5" s="109"/>
      <c r="J5" s="109"/>
      <c r="K5" s="110" t="s">
        <v>499</v>
      </c>
      <c r="L5" s="110"/>
      <c r="M5" s="110"/>
      <c r="N5" s="110"/>
    </row>
    <row r="6" spans="3:14" ht="18" customHeight="1" x14ac:dyDescent="0.25">
      <c r="C6" s="133">
        <f>COUNTIFS('Log Diário'!$B$2:$B$699,"Renan",'Log Diário'!$A$2:$A$699,Painel!$B$4)</f>
        <v>0</v>
      </c>
      <c r="D6" s="133"/>
      <c r="E6" s="133"/>
      <c r="F6" s="133"/>
      <c r="G6" s="111">
        <f>COUNTIFS('Log Diário'!$B$2:$B$699,"Renan",'Log Diário'!$A$2:$A$699,Painel!$B$4,'Log Diário'!$I$2:$I$699,"Em andamento")+COUNTIFS('Log Diário'!$B$2:$B$699,"Renan",'Log Diário'!$A$2:$A$699,Painel!$B$4,'Log Diário'!$I$2:$I$699,"Acompanhamento")</f>
        <v>0</v>
      </c>
      <c r="H6" s="111"/>
      <c r="I6" s="111"/>
      <c r="J6" s="111"/>
      <c r="K6" s="112">
        <f>COUNTIFS('Log Diário'!$B$2:$B$699,"Renan",'Log Diário'!$A$2:$A$699,Painel!$B$4,'Log Diário'!$I$2:$I$699,"Pendência")+COUNTIFS('Log Diário'!$B$2:$B$699,"Renan",'Log Diário'!$A$2:$A$699,Painel!$B$4,'Log Diário'!$I$2:$I$699,"Reprovado")</f>
        <v>0</v>
      </c>
      <c r="L6" s="112"/>
      <c r="M6" s="112"/>
      <c r="N6" s="112"/>
    </row>
    <row r="7" spans="3:14" ht="18" customHeight="1" x14ac:dyDescent="0.25">
      <c r="C7" s="133"/>
      <c r="D7" s="133"/>
      <c r="E7" s="133"/>
      <c r="F7" s="133"/>
      <c r="G7" s="111"/>
      <c r="H7" s="111"/>
      <c r="I7" s="111"/>
      <c r="J7" s="111"/>
      <c r="K7" s="112"/>
      <c r="L7" s="112"/>
      <c r="M7" s="112"/>
      <c r="N7" s="112"/>
    </row>
    <row r="8" spans="3:14" ht="18" customHeight="1" x14ac:dyDescent="0.25">
      <c r="C8" s="133"/>
      <c r="D8" s="133"/>
      <c r="E8" s="133"/>
      <c r="F8" s="133"/>
      <c r="G8" s="111"/>
      <c r="H8" s="111"/>
      <c r="I8" s="111"/>
      <c r="J8" s="111"/>
      <c r="K8" s="112"/>
      <c r="L8" s="112"/>
      <c r="M8" s="112"/>
      <c r="N8" s="112"/>
    </row>
    <row r="9" spans="3:14" ht="6" customHeight="1" x14ac:dyDescent="0.25"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</row>
    <row r="10" spans="3:14" ht="19.5" customHeight="1" x14ac:dyDescent="0.25">
      <c r="C10" s="114" t="str">
        <f>"📈 Total de atividades registradas em "&amp;INDEX({"janeiro";"fevereiro";"março";"abril";"maio";"junho";"julho";"agosto";"setembro";"outubro";"novembro";"dezembro"},MONTH(Painel!$B$4))&amp;"/"&amp;YEAR(Painel!$B$4)&amp;": "&amp;COUNTIFS('Log Diário'!$B$2:$B$699,"Renan",'Log Diário'!$A$2:$A$699,"&gt;="&amp;DATE(YEAR(Painel!$B$4),MONTH(Painel!$B$4),1),'Log Diário'!$A$2:$A$699,"&lt;"&amp;DATE(YEAR(Painel!$B$4),MONTH(Painel!$B$4)+1,1))&amp;" atividades"</f>
        <v>📈 Total de atividades registradas em junho/2026: 14 atividades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3:14" ht="7.5" customHeight="1" x14ac:dyDescent="0.25"/>
    <row r="12" spans="3:14" ht="19.5" customHeight="1" x14ac:dyDescent="0.25">
      <c r="H12" s="115" t="s">
        <v>500</v>
      </c>
      <c r="I12" s="115"/>
      <c r="J12" s="115"/>
      <c r="K12" s="115"/>
      <c r="L12" s="115"/>
      <c r="M12" s="115"/>
      <c r="N12" s="115"/>
    </row>
    <row r="13" spans="3:14" ht="15" customHeight="1" x14ac:dyDescent="0.25">
      <c r="H13" s="134" t="str">
        <f>TRIM(IF(COUNTIFS('Log Diário'!$B$2:$B$699,"Renan",'Log Diário'!$A$2:$A$699,Painel!$B$4,'Log Diário'!$C$2:$C$699,"ELE")&gt;0,"ELE  ","")&amp;IF(COUNTIFS('Log Diário'!$B$2:$B$699,"Renan",'Log Diário'!$A$2:$A$699,Painel!$B$4,'Log Diário'!$C$2:$C$699,"TUB")&gt;0,"TUB  ","")&amp;IF(COUNTIFS('Log Diário'!$B$2:$B$699,"Renan",'Log Diário'!$A$2:$A$699,Painel!$B$4,'Log Diário'!$C$2:$C$699,"MEC")&gt;0,"MEC  ","")&amp;IF(COUNTIFS('Log Diário'!$B$2:$B$699,"Renan",'Log Diário'!$A$2:$A$699,Painel!$B$4,'Log Diário'!$C$2:$C$699,"SOLDA")&gt;0,"SOLDA  ","")&amp;IF(COUNTIFS('Log Diário'!$B$2:$B$699,"Renan",'Log Diário'!$A$2:$A$699,Painel!$B$4,'Log Diário'!$C$2:$C$699,"AND")&gt;0,"AND  ","")&amp;IF(COUNTIFS('Log Diário'!$B$2:$B$699,"Renan",'Log Diário'!$A$2:$A$699,Painel!$B$4,'Log Diário'!$C$2:$C$699,"ADM")&gt;0,"ADM  ","")&amp;IF(COUNTIFS('Log Diário'!$B$2:$B$699,"Renan",'Log Diário'!$A$2:$A$699,Painel!$B$4,'Log Diário'!$C$2:$C$699,"MAT")&gt;0,"MAT  ","")&amp;IF(COUNTIFS('Log Diário'!$B$2:$B$699,"Renan",'Log Diário'!$A$2:$A$699,Painel!$B$4,'Log Diário'!$C$2:$C$699,"LP")&gt;0,"LP  ",""))</f>
        <v/>
      </c>
      <c r="I13" s="134"/>
      <c r="J13" s="134"/>
      <c r="K13" s="134"/>
      <c r="L13" s="134"/>
      <c r="M13" s="134"/>
      <c r="N13" s="134"/>
    </row>
    <row r="14" spans="3:14" ht="15" customHeight="1" x14ac:dyDescent="0.25">
      <c r="H14" s="134"/>
      <c r="I14" s="134"/>
      <c r="J14" s="134"/>
      <c r="K14" s="134"/>
      <c r="L14" s="134"/>
      <c r="M14" s="134"/>
      <c r="N14" s="134"/>
    </row>
    <row r="15" spans="3:14" ht="19.5" customHeight="1" x14ac:dyDescent="0.25">
      <c r="H15" s="115" t="s">
        <v>501</v>
      </c>
      <c r="I15" s="115"/>
      <c r="J15" s="115"/>
      <c r="K15" s="115"/>
      <c r="L15" s="115"/>
      <c r="M15" s="115"/>
      <c r="N15" s="115"/>
    </row>
    <row r="16" spans="3:14" ht="15" customHeight="1" x14ac:dyDescent="0.25">
      <c r="H16" s="135" t="str">
        <f t="array" ref="H16">IF(RIGHT(IFERROR(INDEX('Log Diário'!$D$2:$D$699,SMALL(IF(('Log Diário'!$B$2:$B$699="Renan")*('Log Diário'!$A$2:$A$699=Painel!$B$4),ROW('Log Diário'!$A$2:$A$699)-1,""),1))&amp;"   |   ","")&amp;IFERROR(INDEX('Log Diário'!$D$2:$D$699,SMALL(IF(('Log Diário'!$B$2:$B$699="Renan")*('Log Diário'!$A$2:$A$699=Painel!$B$4),ROW('Log Diário'!$A$2:$A$699)-1,""),2))&amp;"   |   ","")&amp;IFERROR(INDEX('Log Diário'!$D$2:$D$699,SMALL(IF(('Log Diário'!$B$2:$B$699="Renan")*('Log Diário'!$A$2:$A$699=Painel!$B$4),ROW('Log Diário'!$A$2:$A$699)-1,""),3))&amp;"   |   ","")&amp;IFERROR(INDEX('Log Diário'!$D$2:$D$699,SMALL(IF(('Log Diário'!$B$2:$B$699="Renan")*('Log Diário'!$A$2:$A$699=Painel!$B$4),ROW('Log Diário'!$A$2:$A$699)-1,""),4))&amp;"   |   ","")&amp;IFERROR(INDEX('Log Diário'!$D$2:$D$699,SMALL(IF(('Log Diário'!$B$2:$B$699="Renan")*('Log Diário'!$A$2:$A$699=Painel!$B$4),ROW('Log Diário'!$A$2:$A$699)-1,""),5))&amp;"   |   ","")&amp;IFERROR(INDEX('Log Diário'!$D$2:$D$699,SMALL(IF(('Log Diário'!$B$2:$B$699="Renan")*('Log Diário'!$A$2:$A$699=Painel!$B$4),ROW('Log Diário'!$A$2:$A$699)-1,""),6))&amp;"   |   ",""),7)="   |   ",LEFT(IFERROR(INDEX('Log Diário'!$D$2:$D$699,SMALL(IF(('Log Diário'!$B$2:$B$699="Renan")*('Log Diário'!$A$2:$A$699=Painel!$B$4),ROW('Log Diário'!$A$2:$A$699)-1,""),1))&amp;"   |   ","")&amp;IFERROR(INDEX('Log Diário'!$D$2:$D$699,SMALL(IF(('Log Diário'!$B$2:$B$699="Renan")*('Log Diário'!$A$2:$A$699=Painel!$B$4),ROW('Log Diário'!$A$2:$A$699)-1,""),2))&amp;"   |   ","")&amp;IFERROR(INDEX('Log Diário'!$D$2:$D$699,SMALL(IF(('Log Diário'!$B$2:$B$699="Renan")*('Log Diário'!$A$2:$A$699=Painel!$B$4),ROW('Log Diário'!$A$2:$A$699)-1,""),3))&amp;"   |   ","")&amp;IFERROR(INDEX('Log Diário'!$D$2:$D$699,SMALL(IF(('Log Diário'!$B$2:$B$699="Renan")*('Log Diário'!$A$2:$A$699=Painel!$B$4),ROW('Log Diário'!$A$2:$A$699)-1,""),4))&amp;"   |   ","")&amp;IFERROR(INDEX('Log Diário'!$D$2:$D$699,SMALL(IF(('Log Diário'!$B$2:$B$699="Renan")*('Log Diário'!$A$2:$A$699=Painel!$B$4),ROW('Log Diário'!$A$2:$A$699)-1,""),5))&amp;"   |   ","")&amp;IFERROR(INDEX('Log Diário'!$D$2:$D$699,SMALL(IF(('Log Diário'!$B$2:$B$699="Renan")*('Log Diário'!$A$2:$A$699=Painel!$B$4),ROW('Log Diário'!$A$2:$A$699)-1,""),6))&amp;"   |   ",""),LEN(IFERROR(INDEX('Log Diário'!$D$2:$D$699,SMALL(IF(('Log Diário'!$B$2:$B$699="Renan")*('Log Diário'!$A$2:$A$699=Painel!$B$4),ROW('Log Diário'!$A$2:$A$699)-1,""),1))&amp;"   |   ","")&amp;IFERROR(INDEX('Log Diário'!$D$2:$D$699,SMALL(IF(('Log Diário'!$B$2:$B$699="Renan")*('Log Diário'!$A$2:$A$699=Painel!$B$4),ROW('Log Diário'!$A$2:$A$699)-1,""),2))&amp;"   |   ","")&amp;IFERROR(INDEX('Log Diário'!$D$2:$D$699,SMALL(IF(('Log Diário'!$B$2:$B$699="Renan")*('Log Diário'!$A$2:$A$699=Painel!$B$4),ROW('Log Diário'!$A$2:$A$699)-1,""),3))&amp;"   |   ","")&amp;IFERROR(INDEX('Log Diário'!$D$2:$D$699,SMALL(IF(('Log Diário'!$B$2:$B$699="Renan")*('Log Diário'!$A$2:$A$699=Painel!$B$4),ROW('Log Diário'!$A$2:$A$699)-1,""),4))&amp;"   |   ","")&amp;IFERROR(INDEX('Log Diário'!$D$2:$D$699,SMALL(IF(('Log Diário'!$B$2:$B$699="Renan")*('Log Diário'!$A$2:$A$699=Painel!$B$4),ROW('Log Diário'!$A$2:$A$699)-1,""),5))&amp;"   |   ","")&amp;IFERROR(INDEX('Log Diário'!$D$2:$D$699,SMALL(IF(('Log Diário'!$B$2:$B$699="Renan")*('Log Diário'!$A$2:$A$699=Painel!$B$4),ROW('Log Diário'!$A$2:$A$699)-1,""),6))&amp;"   |   ",""))-7),IFERROR(INDEX('Log Diário'!$D$2:$D$699,SMALL(IF(('Log Diário'!$B$2:$B$699="Renan")*('Log Diário'!$A$2:$A$699=Painel!$B$4),ROW('Log Diário'!$A$2:$A$699)-1,""),1))&amp;"   |   ","")&amp;IFERROR(INDEX('Log Diário'!$D$2:$D$699,SMALL(IF(('Log Diário'!$B$2:$B$699="Renan")*('Log Diário'!$A$2:$A$699=Painel!$B$4),ROW('Log Diário'!$A$2:$A$699)-1,""),2))&amp;"   |   ","")&amp;IFERROR(INDEX('Log Diário'!$D$2:$D$699,SMALL(IF(('Log Diário'!$B$2:$B$699="Renan")*('Log Diário'!$A$2:$A$699=Painel!$B$4),ROW('Log Diário'!$A$2:$A$699)-1,""),3))&amp;"   |   ","")&amp;IFERROR(INDEX('Log Diário'!$D$2:$D$699,SMALL(IF(('Log Diário'!$B$2:$B$699="Renan")*('Log Diário'!$A$2:$A$699=Painel!$B$4),ROW('Log Diário'!$A$2:$A$699)-1,""),4))&amp;"   |   ","")&amp;IFERROR(INDEX('Log Diário'!$D$2:$D$699,SMALL(IF(('Log Diário'!$B$2:$B$699="Renan")*('Log Diário'!$A$2:$A$699=Painel!$B$4),ROW('Log Diário'!$A$2:$A$699)-1,""),5))&amp;"   |   ","")&amp;IFERROR(INDEX('Log Diário'!$D$2:$D$699,SMALL(IF(('Log Diário'!$B$2:$B$699="Renan")*('Log Diário'!$A$2:$A$699=Painel!$B$4),ROW('Log Diário'!$A$2:$A$699)-1,""),6))&amp;"   |   ",""))</f>
        <v/>
      </c>
      <c r="I16" s="135"/>
      <c r="J16" s="135"/>
      <c r="K16" s="135"/>
      <c r="L16" s="135"/>
      <c r="M16" s="135"/>
      <c r="N16" s="135"/>
    </row>
    <row r="17" spans="1:19" ht="15" customHeight="1" x14ac:dyDescent="0.25">
      <c r="H17" s="135"/>
      <c r="I17" s="135"/>
      <c r="J17" s="135"/>
      <c r="K17" s="135"/>
      <c r="L17" s="135"/>
      <c r="M17" s="135"/>
      <c r="N17" s="135"/>
    </row>
    <row r="18" spans="1:19" ht="13.5" customHeight="1" x14ac:dyDescent="0.25"/>
    <row r="19" spans="1:19" ht="13.5" customHeight="1" x14ac:dyDescent="0.25"/>
    <row r="20" spans="1:19" ht="13.5" customHeight="1" x14ac:dyDescent="0.25"/>
    <row r="21" spans="1:19" ht="13.5" customHeight="1" x14ac:dyDescent="0.25"/>
    <row r="22" spans="1:19" ht="13.5" customHeight="1" x14ac:dyDescent="0.25"/>
    <row r="23" spans="1:19" ht="13.5" customHeight="1" x14ac:dyDescent="0.25"/>
    <row r="24" spans="1:19" ht="13.5" customHeight="1" x14ac:dyDescent="0.25"/>
    <row r="25" spans="1:19" ht="13.5" customHeight="1" x14ac:dyDescent="0.25"/>
    <row r="26" spans="1:19" ht="13.5" customHeight="1" x14ac:dyDescent="0.25"/>
    <row r="28" spans="1:19" ht="24" customHeight="1" x14ac:dyDescent="0.25">
      <c r="C28" s="86" t="str">
        <f>"🗓️ ATIVIDADES DE HOJE — "&amp;TEXT(Painel!$B$4,"DD/MM/YYYY")</f>
        <v>🗓️ ATIVIDADES DE HOJE — 30/06/YYYY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</row>
    <row r="29" spans="1:19" ht="19.5" customHeight="1" x14ac:dyDescent="0.25">
      <c r="C29" s="62" t="s">
        <v>20</v>
      </c>
      <c r="D29" s="62" t="s">
        <v>21</v>
      </c>
      <c r="E29" s="62" t="s">
        <v>22</v>
      </c>
      <c r="F29" s="118" t="s">
        <v>23</v>
      </c>
      <c r="G29" s="118"/>
      <c r="H29" s="118"/>
      <c r="I29" s="118"/>
      <c r="J29" s="118"/>
      <c r="K29" s="118" t="s">
        <v>24</v>
      </c>
      <c r="L29" s="118"/>
      <c r="M29" s="119" t="s">
        <v>502</v>
      </c>
      <c r="N29" s="119"/>
      <c r="O29" s="119"/>
      <c r="P29" s="119"/>
      <c r="Q29" s="119"/>
      <c r="R29" s="119"/>
    </row>
    <row r="30" spans="1:19" ht="3" customHeight="1" x14ac:dyDescent="0.25">
      <c r="A30" s="77"/>
      <c r="B30" s="77"/>
      <c r="C30" s="77" t="str">
        <f t="array" ref="C30">IFERROR(INDEX('Log Diário'!$C$2:$C$156,SMALL(IF(('Log Diário'!$B$2:$B$156="Renan")*('Log Diário'!$A$2:$A$156=Painel!$B$4),ROW('Log Diário'!$A$2:$A$156)-1,""),1)),"")</f>
        <v/>
      </c>
      <c r="D30" s="77" t="str">
        <f t="array" ref="D30">IFERROR(INDEX('Log Diário'!$D$2:$D$156,SMALL(IF(('Log Diário'!$B$2:$B$156="Renan")*('Log Diário'!$A$2:$A$156=Painel!$B$4),ROW('Log Diário'!$A$2:$A$156)-1,""),1)),"")</f>
        <v/>
      </c>
      <c r="E30" s="77" t="str">
        <f t="array" ref="E30">IFERROR(INDEX('Log Diário'!$E$2:$E$156,SMALL(IF(('Log Diário'!$B$2:$B$156="Renan")*('Log Diário'!$A$2:$A$156=Painel!$B$4),ROW('Log Diário'!$A$2:$A$156)-1,""),1)),"")</f>
        <v/>
      </c>
      <c r="F30" s="120" t="str">
        <f t="array" ref="F30">IFERROR(INDEX('Log Diário'!$F$2:$F$156,SMALL(IF(('Log Diário'!$B$2:$B$156="Renan")*('Log Diário'!$A$2:$A$156=Painel!$B$4),ROW('Log Diário'!$A$2:$A$156)-1,""),1)),"")</f>
        <v/>
      </c>
      <c r="G30" s="120"/>
      <c r="H30" s="120"/>
      <c r="I30" s="120"/>
      <c r="J30" s="120"/>
      <c r="K30" s="121" t="str">
        <f t="array" ref="K30">IFERROR(INDEX('Log Diário'!$I$2:$I$156,SMALL(IF(('Log Diário'!$B$2:$B$156="Renan")*('Log Diário'!$A$2:$A$156=Painel!$B$4),ROW('Log Diário'!$A$2:$A$156)-1,""),1)),"")</f>
        <v/>
      </c>
      <c r="L30" s="121"/>
      <c r="M30" s="120" t="str">
        <f t="array" ref="M30">IFERROR(INDEX('Log Diário'!$K$2:$K$156,SMALL(IF(('Log Diário'!$B$2:$B$156="Renan")*('Log Diário'!$A$2:$A$156=Painel!$B$4),ROW('Log Diário'!$A$2:$A$156)-1,""),1)),"")&amp;""</f>
        <v/>
      </c>
      <c r="N30" s="120"/>
      <c r="O30" s="120"/>
      <c r="P30" s="120"/>
      <c r="Q30" s="120"/>
      <c r="R30" s="120"/>
      <c r="S30" s="77"/>
    </row>
    <row r="31" spans="1:19" ht="3" customHeight="1" x14ac:dyDescent="0.25">
      <c r="A31" s="77"/>
      <c r="B31" s="77"/>
      <c r="C31" s="77" t="str">
        <f t="array" ref="C31">IFERROR(INDEX('Log Diário'!$C$2:$C$156,SMALL(IF(('Log Diário'!$B$2:$B$156="Renan")*('Log Diário'!$A$2:$A$156=Painel!$B$4),ROW('Log Diário'!$A$2:$A$156)-1,""),2)),"")</f>
        <v/>
      </c>
      <c r="D31" s="77" t="str">
        <f t="array" ref="D31">IFERROR(INDEX('Log Diário'!$D$2:$D$156,SMALL(IF(('Log Diário'!$B$2:$B$156="Renan")*('Log Diário'!$A$2:$A$156=Painel!$B$4),ROW('Log Diário'!$A$2:$A$156)-1,""),2)),"")</f>
        <v/>
      </c>
      <c r="E31" s="77" t="str">
        <f t="array" ref="E31">IFERROR(INDEX('Log Diário'!$E$2:$E$156,SMALL(IF(('Log Diário'!$B$2:$B$156="Renan")*('Log Diário'!$A$2:$A$156=Painel!$B$4),ROW('Log Diário'!$A$2:$A$156)-1,""),2)),"")</f>
        <v/>
      </c>
      <c r="F31" s="120" t="str">
        <f t="array" ref="F31">IFERROR(INDEX('Log Diário'!$F$2:$F$156,SMALL(IF(('Log Diário'!$B$2:$B$156="Renan")*('Log Diário'!$A$2:$A$156=Painel!$B$4),ROW('Log Diário'!$A$2:$A$156)-1,""),2)),"")</f>
        <v/>
      </c>
      <c r="G31" s="120"/>
      <c r="H31" s="120"/>
      <c r="I31" s="120"/>
      <c r="J31" s="120"/>
      <c r="K31" s="121" t="str">
        <f t="array" ref="K31">IFERROR(INDEX('Log Diário'!$I$2:$I$156,SMALL(IF(('Log Diário'!$B$2:$B$156="Renan")*('Log Diário'!$A$2:$A$156=Painel!$B$4),ROW('Log Diário'!$A$2:$A$156)-1,""),2)),"")</f>
        <v/>
      </c>
      <c r="L31" s="121"/>
      <c r="M31" s="120" t="str">
        <f t="array" ref="M31">IFERROR(INDEX('Log Diário'!$K$2:$K$156,SMALL(IF(('Log Diário'!$B$2:$B$156="Renan")*('Log Diário'!$A$2:$A$156=Painel!$B$4),ROW('Log Diário'!$A$2:$A$156)-1,""),2)),"")&amp;""</f>
        <v/>
      </c>
      <c r="N31" s="120"/>
      <c r="O31" s="120"/>
      <c r="P31" s="120"/>
      <c r="Q31" s="120"/>
      <c r="R31" s="120"/>
      <c r="S31" s="77"/>
    </row>
    <row r="32" spans="1:19" ht="3" customHeight="1" x14ac:dyDescent="0.25">
      <c r="A32" s="77"/>
      <c r="B32" s="77"/>
      <c r="C32" s="77" t="str">
        <f t="array" ref="C32">IFERROR(INDEX('Log Diário'!$C$2:$C$156,SMALL(IF(('Log Diário'!$B$2:$B$156="Renan")*('Log Diário'!$A$2:$A$156=Painel!$B$4),ROW('Log Diário'!$A$2:$A$156)-1,""),3)),"")</f>
        <v/>
      </c>
      <c r="D32" s="77" t="str">
        <f t="array" ref="D32">IFERROR(INDEX('Log Diário'!$D$2:$D$156,SMALL(IF(('Log Diário'!$B$2:$B$156="Renan")*('Log Diário'!$A$2:$A$156=Painel!$B$4),ROW('Log Diário'!$A$2:$A$156)-1,""),3)),"")</f>
        <v/>
      </c>
      <c r="E32" s="77" t="str">
        <f t="array" ref="E32">IFERROR(INDEX('Log Diário'!$E$2:$E$156,SMALL(IF(('Log Diário'!$B$2:$B$156="Renan")*('Log Diário'!$A$2:$A$156=Painel!$B$4),ROW('Log Diário'!$A$2:$A$156)-1,""),3)),"")</f>
        <v/>
      </c>
      <c r="F32" s="120" t="str">
        <f t="array" ref="F32">IFERROR(INDEX('Log Diário'!$F$2:$F$156,SMALL(IF(('Log Diário'!$B$2:$B$156="Renan")*('Log Diário'!$A$2:$A$156=Painel!$B$4),ROW('Log Diário'!$A$2:$A$156)-1,""),3)),"")</f>
        <v/>
      </c>
      <c r="G32" s="120"/>
      <c r="H32" s="120"/>
      <c r="I32" s="120"/>
      <c r="J32" s="120"/>
      <c r="K32" s="121" t="str">
        <f t="array" ref="K32">IFERROR(INDEX('Log Diário'!$I$2:$I$156,SMALL(IF(('Log Diário'!$B$2:$B$156="Renan")*('Log Diário'!$A$2:$A$156=Painel!$B$4),ROW('Log Diário'!$A$2:$A$156)-1,""),3)),"")</f>
        <v/>
      </c>
      <c r="L32" s="121"/>
      <c r="M32" s="120" t="str">
        <f t="array" ref="M32">IFERROR(INDEX('Log Diário'!$K$2:$K$156,SMALL(IF(('Log Diário'!$B$2:$B$156="Renan")*('Log Diário'!$A$2:$A$156=Painel!$B$4),ROW('Log Diário'!$A$2:$A$156)-1,""),3)),"")&amp;""</f>
        <v/>
      </c>
      <c r="N32" s="120"/>
      <c r="O32" s="120"/>
      <c r="P32" s="120"/>
      <c r="Q32" s="120"/>
      <c r="R32" s="120"/>
      <c r="S32" s="77"/>
    </row>
    <row r="33" spans="1:19" ht="3" customHeight="1" x14ac:dyDescent="0.25">
      <c r="A33" s="77"/>
      <c r="B33" s="77"/>
      <c r="C33" s="77" t="str">
        <f t="array" ref="C33">IFERROR(INDEX('Log Diário'!$C$2:$C$156,SMALL(IF(('Log Diário'!$B$2:$B$156="Renan")*('Log Diário'!$A$2:$A$156=Painel!$B$4),ROW('Log Diário'!$A$2:$A$156)-1,""),4)),"")</f>
        <v/>
      </c>
      <c r="D33" s="77" t="str">
        <f t="array" ref="D33">IFERROR(INDEX('Log Diário'!$D$2:$D$156,SMALL(IF(('Log Diário'!$B$2:$B$156="Renan")*('Log Diário'!$A$2:$A$156=Painel!$B$4),ROW('Log Diário'!$A$2:$A$156)-1,""),4)),"")</f>
        <v/>
      </c>
      <c r="E33" s="77" t="str">
        <f t="array" ref="E33">IFERROR(INDEX('Log Diário'!$E$2:$E$156,SMALL(IF(('Log Diário'!$B$2:$B$156="Renan")*('Log Diário'!$A$2:$A$156=Painel!$B$4),ROW('Log Diário'!$A$2:$A$156)-1,""),4)),"")</f>
        <v/>
      </c>
      <c r="F33" s="120" t="str">
        <f t="array" ref="F33">IFERROR(INDEX('Log Diário'!$F$2:$F$156,SMALL(IF(('Log Diário'!$B$2:$B$156="Renan")*('Log Diário'!$A$2:$A$156=Painel!$B$4),ROW('Log Diário'!$A$2:$A$156)-1,""),4)),"")</f>
        <v/>
      </c>
      <c r="G33" s="120"/>
      <c r="H33" s="120"/>
      <c r="I33" s="120"/>
      <c r="J33" s="120"/>
      <c r="K33" s="121" t="str">
        <f t="array" ref="K33">IFERROR(INDEX('Log Diário'!$I$2:$I$156,SMALL(IF(('Log Diário'!$B$2:$B$156="Renan")*('Log Diário'!$A$2:$A$156=Painel!$B$4),ROW('Log Diário'!$A$2:$A$156)-1,""),4)),"")</f>
        <v/>
      </c>
      <c r="L33" s="121"/>
      <c r="M33" s="120" t="str">
        <f t="array" ref="M33">IFERROR(INDEX('Log Diário'!$K$2:$K$156,SMALL(IF(('Log Diário'!$B$2:$B$156="Renan")*('Log Diário'!$A$2:$A$156=Painel!$B$4),ROW('Log Diário'!$A$2:$A$156)-1,""),4)),"")&amp;""</f>
        <v/>
      </c>
      <c r="N33" s="120"/>
      <c r="O33" s="120"/>
      <c r="P33" s="120"/>
      <c r="Q33" s="120"/>
      <c r="R33" s="120"/>
      <c r="S33" s="77"/>
    </row>
    <row r="34" spans="1:19" ht="3" customHeight="1" x14ac:dyDescent="0.25">
      <c r="A34" s="77"/>
      <c r="B34" s="77"/>
      <c r="C34" s="77" t="str">
        <f t="array" ref="C34">IFERROR(INDEX('Log Diário'!$C$2:$C$156,SMALL(IF(('Log Diário'!$B$2:$B$156="Renan")*('Log Diário'!$A$2:$A$156=Painel!$B$4),ROW('Log Diário'!$A$2:$A$156)-1,""),5)),"")</f>
        <v/>
      </c>
      <c r="D34" s="77" t="str">
        <f t="array" ref="D34">IFERROR(INDEX('Log Diário'!$D$2:$D$156,SMALL(IF(('Log Diário'!$B$2:$B$156="Renan")*('Log Diário'!$A$2:$A$156=Painel!$B$4),ROW('Log Diário'!$A$2:$A$156)-1,""),5)),"")</f>
        <v/>
      </c>
      <c r="E34" s="77" t="str">
        <f t="array" ref="E34">IFERROR(INDEX('Log Diário'!$E$2:$E$156,SMALL(IF(('Log Diário'!$B$2:$B$156="Renan")*('Log Diário'!$A$2:$A$156=Painel!$B$4),ROW('Log Diário'!$A$2:$A$156)-1,""),5)),"")</f>
        <v/>
      </c>
      <c r="F34" s="120" t="str">
        <f t="array" ref="F34">IFERROR(INDEX('Log Diário'!$F$2:$F$156,SMALL(IF(('Log Diário'!$B$2:$B$156="Renan")*('Log Diário'!$A$2:$A$156=Painel!$B$4),ROW('Log Diário'!$A$2:$A$156)-1,""),5)),"")</f>
        <v/>
      </c>
      <c r="G34" s="120"/>
      <c r="H34" s="120"/>
      <c r="I34" s="120"/>
      <c r="J34" s="120"/>
      <c r="K34" s="121" t="str">
        <f t="array" ref="K34">IFERROR(INDEX('Log Diário'!$I$2:$I$156,SMALL(IF(('Log Diário'!$B$2:$B$156="Renan")*('Log Diário'!$A$2:$A$156=Painel!$B$4),ROW('Log Diário'!$A$2:$A$156)-1,""),5)),"")</f>
        <v/>
      </c>
      <c r="L34" s="121"/>
      <c r="M34" s="120" t="str">
        <f t="array" ref="M34">IFERROR(INDEX('Log Diário'!$K$2:$K$156,SMALL(IF(('Log Diário'!$B$2:$B$156="Renan")*('Log Diário'!$A$2:$A$156=Painel!$B$4),ROW('Log Diário'!$A$2:$A$156)-1,""),5)),"")&amp;""</f>
        <v/>
      </c>
      <c r="N34" s="120"/>
      <c r="O34" s="120"/>
      <c r="P34" s="120"/>
      <c r="Q34" s="120"/>
      <c r="R34" s="120"/>
      <c r="S34" s="77"/>
    </row>
    <row r="35" spans="1:19" ht="3" customHeight="1" x14ac:dyDescent="0.25">
      <c r="A35" s="77"/>
      <c r="B35" s="77"/>
      <c r="C35" s="77" t="str">
        <f t="array" ref="C35">IFERROR(INDEX('Log Diário'!$C$2:$C$156,SMALL(IF(('Log Diário'!$B$2:$B$156="Renan")*('Log Diário'!$A$2:$A$156=Painel!$B$4),ROW('Log Diário'!$A$2:$A$156)-1,""),6)),"")</f>
        <v/>
      </c>
      <c r="D35" s="77" t="str">
        <f t="array" ref="D35">IFERROR(INDEX('Log Diário'!$D$2:$D$156,SMALL(IF(('Log Diário'!$B$2:$B$156="Renan")*('Log Diário'!$A$2:$A$156=Painel!$B$4),ROW('Log Diário'!$A$2:$A$156)-1,""),6)),"")</f>
        <v/>
      </c>
      <c r="E35" s="77" t="str">
        <f t="array" ref="E35">IFERROR(INDEX('Log Diário'!$E$2:$E$156,SMALL(IF(('Log Diário'!$B$2:$B$156="Renan")*('Log Diário'!$A$2:$A$156=Painel!$B$4),ROW('Log Diário'!$A$2:$A$156)-1,""),6)),"")</f>
        <v/>
      </c>
      <c r="F35" s="120" t="str">
        <f t="array" ref="F35">IFERROR(INDEX('Log Diário'!$F$2:$F$156,SMALL(IF(('Log Diário'!$B$2:$B$156="Renan")*('Log Diário'!$A$2:$A$156=Painel!$B$4),ROW('Log Diário'!$A$2:$A$156)-1,""),6)),"")</f>
        <v/>
      </c>
      <c r="G35" s="120"/>
      <c r="H35" s="120"/>
      <c r="I35" s="120"/>
      <c r="J35" s="120"/>
      <c r="K35" s="121" t="str">
        <f t="array" ref="K35">IFERROR(INDEX('Log Diário'!$I$2:$I$156,SMALL(IF(('Log Diário'!$B$2:$B$156="Renan")*('Log Diário'!$A$2:$A$156=Painel!$B$4),ROW('Log Diário'!$A$2:$A$156)-1,""),6)),"")</f>
        <v/>
      </c>
      <c r="L35" s="121"/>
      <c r="M35" s="120" t="str">
        <f t="array" ref="M35">IFERROR(INDEX('Log Diário'!$K$2:$K$156,SMALL(IF(('Log Diário'!$B$2:$B$156="Renan")*('Log Diário'!$A$2:$A$156=Painel!$B$4),ROW('Log Diário'!$A$2:$A$156)-1,""),6)),"")&amp;""</f>
        <v/>
      </c>
      <c r="N35" s="120"/>
      <c r="O35" s="120"/>
      <c r="P35" s="120"/>
      <c r="Q35" s="120"/>
      <c r="R35" s="120"/>
      <c r="S35" s="77"/>
    </row>
    <row r="36" spans="1:19" ht="3" customHeight="1" x14ac:dyDescent="0.25">
      <c r="A36" s="77"/>
      <c r="B36" s="77"/>
      <c r="C36" s="77" t="str">
        <f t="array" ref="C36">IFERROR(INDEX('Log Diário'!$C$2:$C$156,SMALL(IF(('Log Diário'!$B$2:$B$156="Renan")*('Log Diário'!$A$2:$A$156=Painel!$B$4),ROW('Log Diário'!$A$2:$A$156)-1,""),7)),"")</f>
        <v/>
      </c>
      <c r="D36" s="77" t="str">
        <f t="array" ref="D36">IFERROR(INDEX('Log Diário'!$D$2:$D$156,SMALL(IF(('Log Diário'!$B$2:$B$156="Renan")*('Log Diário'!$A$2:$A$156=Painel!$B$4),ROW('Log Diário'!$A$2:$A$156)-1,""),7)),"")</f>
        <v/>
      </c>
      <c r="E36" s="77" t="str">
        <f t="array" ref="E36">IFERROR(INDEX('Log Diário'!$E$2:$E$156,SMALL(IF(('Log Diário'!$B$2:$B$156="Renan")*('Log Diário'!$A$2:$A$156=Painel!$B$4),ROW('Log Diário'!$A$2:$A$156)-1,""),7)),"")</f>
        <v/>
      </c>
      <c r="F36" s="120" t="str">
        <f t="array" ref="F36">IFERROR(INDEX('Log Diário'!$F$2:$F$156,SMALL(IF(('Log Diário'!$B$2:$B$156="Renan")*('Log Diário'!$A$2:$A$156=Painel!$B$4),ROW('Log Diário'!$A$2:$A$156)-1,""),7)),"")</f>
        <v/>
      </c>
      <c r="G36" s="120"/>
      <c r="H36" s="120"/>
      <c r="I36" s="120"/>
      <c r="J36" s="120"/>
      <c r="K36" s="121" t="str">
        <f t="array" ref="K36">IFERROR(INDEX('Log Diário'!$I$2:$I$156,SMALL(IF(('Log Diário'!$B$2:$B$156="Renan")*('Log Diário'!$A$2:$A$156=Painel!$B$4),ROW('Log Diário'!$A$2:$A$156)-1,""),7)),"")</f>
        <v/>
      </c>
      <c r="L36" s="121"/>
      <c r="M36" s="120" t="str">
        <f t="array" ref="M36">IFERROR(INDEX('Log Diário'!$K$2:$K$156,SMALL(IF(('Log Diário'!$B$2:$B$156="Renan")*('Log Diário'!$A$2:$A$156=Painel!$B$4),ROW('Log Diário'!$A$2:$A$156)-1,""),7)),"")&amp;""</f>
        <v/>
      </c>
      <c r="N36" s="120"/>
      <c r="O36" s="120"/>
      <c r="P36" s="120"/>
      <c r="Q36" s="120"/>
      <c r="R36" s="120"/>
      <c r="S36" s="77"/>
    </row>
    <row r="37" spans="1:19" ht="3" customHeight="1" x14ac:dyDescent="0.25">
      <c r="A37" s="77"/>
      <c r="B37" s="77"/>
      <c r="C37" s="77" t="str">
        <f t="array" ref="C37">IFERROR(INDEX('Log Diário'!$C$2:$C$156,SMALL(IF(('Log Diário'!$B$2:$B$156="Renan")*('Log Diário'!$A$2:$A$156=Painel!$B$4),ROW('Log Diário'!$A$2:$A$156)-1,""),8)),"")</f>
        <v/>
      </c>
      <c r="D37" s="77" t="str">
        <f t="array" ref="D37">IFERROR(INDEX('Log Diário'!$D$2:$D$156,SMALL(IF(('Log Diário'!$B$2:$B$156="Renan")*('Log Diário'!$A$2:$A$156=Painel!$B$4),ROW('Log Diário'!$A$2:$A$156)-1,""),8)),"")</f>
        <v/>
      </c>
      <c r="E37" s="77" t="str">
        <f t="array" ref="E37">IFERROR(INDEX('Log Diário'!$E$2:$E$156,SMALL(IF(('Log Diário'!$B$2:$B$156="Renan")*('Log Diário'!$A$2:$A$156=Painel!$B$4),ROW('Log Diário'!$A$2:$A$156)-1,""),8)),"")</f>
        <v/>
      </c>
      <c r="F37" s="120" t="str">
        <f t="array" ref="F37">IFERROR(INDEX('Log Diário'!$F$2:$F$156,SMALL(IF(('Log Diário'!$B$2:$B$156="Renan")*('Log Diário'!$A$2:$A$156=Painel!$B$4),ROW('Log Diário'!$A$2:$A$156)-1,""),8)),"")</f>
        <v/>
      </c>
      <c r="G37" s="120"/>
      <c r="H37" s="120"/>
      <c r="I37" s="120"/>
      <c r="J37" s="120"/>
      <c r="K37" s="121" t="str">
        <f t="array" ref="K37">IFERROR(INDEX('Log Diário'!$I$2:$I$156,SMALL(IF(('Log Diário'!$B$2:$B$156="Renan")*('Log Diário'!$A$2:$A$156=Painel!$B$4),ROW('Log Diário'!$A$2:$A$156)-1,""),8)),"")</f>
        <v/>
      </c>
      <c r="L37" s="121"/>
      <c r="M37" s="120" t="str">
        <f t="array" ref="M37">IFERROR(INDEX('Log Diário'!$K$2:$K$156,SMALL(IF(('Log Diário'!$B$2:$B$156="Renan")*('Log Diário'!$A$2:$A$156=Painel!$B$4),ROW('Log Diário'!$A$2:$A$156)-1,""),8)),"")&amp;""</f>
        <v/>
      </c>
      <c r="N37" s="120"/>
      <c r="O37" s="120"/>
      <c r="P37" s="120"/>
      <c r="Q37" s="120"/>
      <c r="R37" s="120"/>
      <c r="S37" s="77"/>
    </row>
    <row r="38" spans="1:19" ht="3" customHeight="1" x14ac:dyDescent="0.25">
      <c r="A38" s="77"/>
      <c r="B38" s="77"/>
      <c r="C38" s="77" t="str">
        <f t="array" ref="C38">IFERROR(INDEX('Log Diário'!$C$2:$C$156,SMALL(IF(('Log Diário'!$B$2:$B$156="Renan")*('Log Diário'!$A$2:$A$156=Painel!$B$4),ROW('Log Diário'!$A$2:$A$156)-1,""),9)),"")</f>
        <v/>
      </c>
      <c r="D38" s="77" t="str">
        <f t="array" ref="D38">IFERROR(INDEX('Log Diário'!$D$2:$D$156,SMALL(IF(('Log Diário'!$B$2:$B$156="Renan")*('Log Diário'!$A$2:$A$156=Painel!$B$4),ROW('Log Diário'!$A$2:$A$156)-1,""),9)),"")</f>
        <v/>
      </c>
      <c r="E38" s="77" t="str">
        <f t="array" ref="E38">IFERROR(INDEX('Log Diário'!$E$2:$E$156,SMALL(IF(('Log Diário'!$B$2:$B$156="Renan")*('Log Diário'!$A$2:$A$156=Painel!$B$4),ROW('Log Diário'!$A$2:$A$156)-1,""),9)),"")</f>
        <v/>
      </c>
      <c r="F38" s="120" t="str">
        <f t="array" ref="F38">IFERROR(INDEX('Log Diário'!$F$2:$F$156,SMALL(IF(('Log Diário'!$B$2:$B$156="Renan")*('Log Diário'!$A$2:$A$156=Painel!$B$4),ROW('Log Diário'!$A$2:$A$156)-1,""),9)),"")</f>
        <v/>
      </c>
      <c r="G38" s="120"/>
      <c r="H38" s="120"/>
      <c r="I38" s="120"/>
      <c r="J38" s="120"/>
      <c r="K38" s="121" t="str">
        <f t="array" ref="K38">IFERROR(INDEX('Log Diário'!$I$2:$I$156,SMALL(IF(('Log Diário'!$B$2:$B$156="Renan")*('Log Diário'!$A$2:$A$156=Painel!$B$4),ROW('Log Diário'!$A$2:$A$156)-1,""),9)),"")</f>
        <v/>
      </c>
      <c r="L38" s="121"/>
      <c r="M38" s="120" t="str">
        <f t="array" ref="M38">IFERROR(INDEX('Log Diário'!$K$2:$K$156,SMALL(IF(('Log Diário'!$B$2:$B$156="Renan")*('Log Diário'!$A$2:$A$156=Painel!$B$4),ROW('Log Diário'!$A$2:$A$156)-1,""),9)),"")&amp;""</f>
        <v/>
      </c>
      <c r="N38" s="120"/>
      <c r="O38" s="120"/>
      <c r="P38" s="120"/>
      <c r="Q38" s="120"/>
      <c r="R38" s="120"/>
      <c r="S38" s="77"/>
    </row>
    <row r="39" spans="1:19" ht="3" customHeight="1" x14ac:dyDescent="0.25">
      <c r="A39" s="77"/>
      <c r="B39" s="77"/>
      <c r="C39" s="77" t="str">
        <f t="array" ref="C39">IFERROR(INDEX('Log Diário'!$C$2:$C$156,SMALL(IF(('Log Diário'!$B$2:$B$156="Renan")*('Log Diário'!$A$2:$A$156=Painel!$B$4),ROW('Log Diário'!$A$2:$A$156)-1,""),10)),"")</f>
        <v/>
      </c>
      <c r="D39" s="77" t="str">
        <f t="array" ref="D39">IFERROR(INDEX('Log Diário'!$D$2:$D$156,SMALL(IF(('Log Diário'!$B$2:$B$156="Renan")*('Log Diário'!$A$2:$A$156=Painel!$B$4),ROW('Log Diário'!$A$2:$A$156)-1,""),10)),"")</f>
        <v/>
      </c>
      <c r="E39" s="77" t="str">
        <f t="array" ref="E39">IFERROR(INDEX('Log Diário'!$E$2:$E$156,SMALL(IF(('Log Diário'!$B$2:$B$156="Renan")*('Log Diário'!$A$2:$A$156=Painel!$B$4),ROW('Log Diário'!$A$2:$A$156)-1,""),10)),"")</f>
        <v/>
      </c>
      <c r="F39" s="120" t="str">
        <f t="array" ref="F39">IFERROR(INDEX('Log Diário'!$F$2:$F$156,SMALL(IF(('Log Diário'!$B$2:$B$156="Renan")*('Log Diário'!$A$2:$A$156=Painel!$B$4),ROW('Log Diário'!$A$2:$A$156)-1,""),10)),"")</f>
        <v/>
      </c>
      <c r="G39" s="120"/>
      <c r="H39" s="120"/>
      <c r="I39" s="120"/>
      <c r="J39" s="120"/>
      <c r="K39" s="121" t="str">
        <f t="array" ref="K39">IFERROR(INDEX('Log Diário'!$I$2:$I$156,SMALL(IF(('Log Diário'!$B$2:$B$156="Renan")*('Log Diário'!$A$2:$A$156=Painel!$B$4),ROW('Log Diário'!$A$2:$A$156)-1,""),10)),"")</f>
        <v/>
      </c>
      <c r="L39" s="121"/>
      <c r="M39" s="120" t="str">
        <f t="array" ref="M39">IFERROR(INDEX('Log Diário'!$K$2:$K$156,SMALL(IF(('Log Diário'!$B$2:$B$156="Renan")*('Log Diário'!$A$2:$A$156=Painel!$B$4),ROW('Log Diário'!$A$2:$A$156)-1,""),10)),"")&amp;""</f>
        <v/>
      </c>
      <c r="N39" s="120"/>
      <c r="O39" s="120"/>
      <c r="P39" s="120"/>
      <c r="Q39" s="120"/>
      <c r="R39" s="120"/>
      <c r="S39" s="77"/>
    </row>
    <row r="41" spans="1:19" ht="21.75" customHeight="1" x14ac:dyDescent="0.25">
      <c r="C41" s="122" t="str">
        <f>IF(COUNTIFS('Log Diário'!$B$2:$B$699,"Renan",'Log Diário'!$A$2:$A$699,Painel!$B$4)=0,"⚠ Nenhuma atividade registrada para "&amp;TEXT(Painel!$B$4,"DD/MM/YYYY")&amp;" — relatório diário pendente","")</f>
        <v>⚠ Nenhuma atividade registrada para 30/06/YYYY — relatório diário pendente</v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</row>
    <row r="42" spans="1:19" ht="15" customHeight="1" x14ac:dyDescent="0.25">
      <c r="C42" s="123" t="s">
        <v>503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</row>
    <row r="199" spans="3:4" ht="15" customHeight="1" x14ac:dyDescent="0.25">
      <c r="C199" s="78" t="s">
        <v>504</v>
      </c>
      <c r="D199" s="78" t="s">
        <v>505</v>
      </c>
    </row>
    <row r="200" spans="3:4" ht="15" customHeight="1" x14ac:dyDescent="0.25">
      <c r="C200" s="79" t="str">
        <f>IF(D200=0,"","Não iniciado")</f>
        <v/>
      </c>
      <c r="D200" s="79">
        <f>COUNTIFS('Log Diário'!$B$2:$B$699,"Renan",'Log Diário'!$A$2:$A$699,Painel!$B$4,'Log Diário'!$I$2:$I$699,"Não iniciado")</f>
        <v>0</v>
      </c>
    </row>
    <row r="201" spans="3:4" ht="15" customHeight="1" x14ac:dyDescent="0.25">
      <c r="C201" s="79" t="str">
        <f>IF(D201=0,"","Em andamento")</f>
        <v/>
      </c>
      <c r="D201" s="79">
        <f>COUNTIFS('Log Diário'!$B$2:$B$699,"Renan",'Log Diário'!$A$2:$A$699,Painel!$B$4,'Log Diário'!$I$2:$I$699,"Em andamento")</f>
        <v>0</v>
      </c>
    </row>
    <row r="202" spans="3:4" ht="15" customHeight="1" x14ac:dyDescent="0.25">
      <c r="C202" s="79" t="str">
        <f>IF(D202=0,"","Acompanhamento")</f>
        <v/>
      </c>
      <c r="D202" s="79">
        <f>COUNTIFS('Log Diário'!$B$2:$B$699,"Renan",'Log Diário'!$A$2:$A$699,Painel!$B$4,'Log Diário'!$I$2:$I$699,"Acompanhamento")</f>
        <v>0</v>
      </c>
    </row>
    <row r="203" spans="3:4" ht="15" customHeight="1" x14ac:dyDescent="0.25">
      <c r="C203" s="79" t="str">
        <f>IF(D203=0,"","Inspecionado OK")</f>
        <v/>
      </c>
      <c r="D203" s="79">
        <f>COUNTIFS('Log Diário'!$B$2:$B$699,"Renan",'Log Diário'!$A$2:$A$699,Painel!$B$4,'Log Diário'!$I$2:$I$699,"Inspecionado OK")</f>
        <v>0</v>
      </c>
    </row>
    <row r="204" spans="3:4" ht="15" customHeight="1" x14ac:dyDescent="0.25">
      <c r="C204" s="79" t="str">
        <f>IF(D204=0,"","Pendência")</f>
        <v/>
      </c>
      <c r="D204" s="79">
        <f>COUNTIFS('Log Diário'!$B$2:$B$699,"Renan",'Log Diário'!$A$2:$A$699,Painel!$B$4,'Log Diário'!$I$2:$I$699,"Pendência")</f>
        <v>0</v>
      </c>
    </row>
    <row r="205" spans="3:4" ht="15" customHeight="1" x14ac:dyDescent="0.25">
      <c r="C205" s="79" t="str">
        <f>IF(D205=0,"","Reprovado")</f>
        <v/>
      </c>
      <c r="D205" s="79">
        <f>COUNTIFS('Log Diário'!$B$2:$B$699,"Renan",'Log Diário'!$A$2:$A$699,Painel!$B$4,'Log Diário'!$I$2:$I$699,"Reprovado")</f>
        <v>0</v>
      </c>
    </row>
  </sheetData>
  <mergeCells count="52">
    <mergeCell ref="F39:J39"/>
    <mergeCell ref="K39:L39"/>
    <mergeCell ref="M39:R39"/>
    <mergeCell ref="C41:N41"/>
    <mergeCell ref="C42:N42"/>
    <mergeCell ref="F37:J37"/>
    <mergeCell ref="K37:L37"/>
    <mergeCell ref="M37:R37"/>
    <mergeCell ref="F38:J38"/>
    <mergeCell ref="K38:L38"/>
    <mergeCell ref="M38:R38"/>
    <mergeCell ref="F35:J35"/>
    <mergeCell ref="K35:L35"/>
    <mergeCell ref="M35:R35"/>
    <mergeCell ref="F36:J36"/>
    <mergeCell ref="K36:L36"/>
    <mergeCell ref="M36:R36"/>
    <mergeCell ref="F33:J33"/>
    <mergeCell ref="K33:L33"/>
    <mergeCell ref="M33:R33"/>
    <mergeCell ref="F34:J34"/>
    <mergeCell ref="K34:L34"/>
    <mergeCell ref="M34:R34"/>
    <mergeCell ref="F31:J31"/>
    <mergeCell ref="K31:L31"/>
    <mergeCell ref="M31:R31"/>
    <mergeCell ref="F32:J32"/>
    <mergeCell ref="K32:L32"/>
    <mergeCell ref="M32:R32"/>
    <mergeCell ref="F29:J29"/>
    <mergeCell ref="K29:L29"/>
    <mergeCell ref="M29:R29"/>
    <mergeCell ref="F30:J30"/>
    <mergeCell ref="K30:L30"/>
    <mergeCell ref="M30:R30"/>
    <mergeCell ref="H12:N12"/>
    <mergeCell ref="H13:N14"/>
    <mergeCell ref="H15:N15"/>
    <mergeCell ref="H16:N17"/>
    <mergeCell ref="C28:N28"/>
    <mergeCell ref="C6:F8"/>
    <mergeCell ref="G6:J8"/>
    <mergeCell ref="K6:N8"/>
    <mergeCell ref="C9:N9"/>
    <mergeCell ref="C10:N10"/>
    <mergeCell ref="C1:N1"/>
    <mergeCell ref="C2:N2"/>
    <mergeCell ref="C3:L3"/>
    <mergeCell ref="M3:N3"/>
    <mergeCell ref="C5:F5"/>
    <mergeCell ref="G5:J5"/>
    <mergeCell ref="K5:N5"/>
  </mergeCells>
  <conditionalFormatting sqref="A30:R39">
    <cfRule type="expression" dxfId="14" priority="23">
      <formula>$C30=""</formula>
    </cfRule>
  </conditionalFormatting>
  <conditionalFormatting sqref="K30:L39">
    <cfRule type="cellIs" dxfId="13" priority="2" operator="equal">
      <formula>"Não iniciado"</formula>
    </cfRule>
    <cfRule type="cellIs" dxfId="12" priority="3" operator="equal">
      <formula>"Em andamento"</formula>
    </cfRule>
    <cfRule type="cellIs" dxfId="11" priority="4" operator="equal">
      <formula>"Acompanhamento"</formula>
    </cfRule>
    <cfRule type="cellIs" dxfId="10" priority="5" operator="equal">
      <formula>"Inspecionado OK"</formula>
    </cfRule>
    <cfRule type="cellIs" dxfId="9" priority="6" operator="equal">
      <formula>"Pendência"</formula>
    </cfRule>
    <cfRule type="cellIs" dxfId="8" priority="7" operator="equal">
      <formula>"Reprovado"</formula>
    </cfRule>
    <cfRule type="cellIs" dxfId="7" priority="11" operator="equal">
      <formula>"Finalizado"</formula>
    </cfRule>
    <cfRule type="cellIs" dxfId="6" priority="12" operator="equal">
      <formula>"Aprovado"</formula>
    </cfRule>
    <cfRule type="cellIs" dxfId="5" priority="15" operator="equal">
      <formula>"Não finalizado"</formula>
    </cfRule>
    <cfRule type="cellIs" dxfId="4" priority="16" operator="equal">
      <formula>"Reprovado parcial"</formula>
    </cfRule>
    <cfRule type="cellIs" dxfId="3" priority="17" operator="equal">
      <formula>"Recebido"</formula>
    </cfRule>
    <cfRule type="cellIs" dxfId="2" priority="18" operator="equal">
      <formula>"Recebido parcial"</formula>
    </cfRule>
    <cfRule type="cellIs" dxfId="1" priority="19" operator="equal">
      <formula>"Inspecionado"</formula>
    </cfRule>
  </conditionalFormatting>
  <conditionalFormatting sqref="M30:R39">
    <cfRule type="expression" dxfId="0" priority="20">
      <formula>NOT(ISERROR(SEARCH("CHECK-IN",M30)))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2"/>
  <sheetViews>
    <sheetView zoomScaleNormal="100" workbookViewId="0"/>
  </sheetViews>
  <sheetFormatPr defaultColWidth="8.7109375" defaultRowHeight="15" x14ac:dyDescent="0.25"/>
  <sheetData>
    <row r="1" spans="1:1" ht="15" customHeight="1" x14ac:dyDescent="0.25">
      <c r="A1" s="83" t="s">
        <v>516</v>
      </c>
    </row>
    <row r="2" spans="1:1" ht="15" customHeight="1" x14ac:dyDescent="0.25">
      <c r="A2" s="84">
        <v>46188</v>
      </c>
    </row>
    <row r="3" spans="1:1" ht="15" customHeight="1" x14ac:dyDescent="0.25">
      <c r="A3" s="84">
        <v>46189</v>
      </c>
    </row>
    <row r="4" spans="1:1" ht="15" customHeight="1" x14ac:dyDescent="0.25">
      <c r="A4" s="84">
        <v>46190</v>
      </c>
    </row>
    <row r="5" spans="1:1" ht="15" customHeight="1" x14ac:dyDescent="0.25">
      <c r="A5" s="84">
        <v>46191</v>
      </c>
    </row>
    <row r="6" spans="1:1" ht="15" customHeight="1" x14ac:dyDescent="0.25">
      <c r="A6" s="84">
        <v>46192</v>
      </c>
    </row>
    <row r="7" spans="1:1" ht="15" customHeight="1" x14ac:dyDescent="0.25">
      <c r="A7" s="84">
        <v>46195</v>
      </c>
    </row>
    <row r="8" spans="1:1" ht="15" customHeight="1" x14ac:dyDescent="0.25">
      <c r="A8" s="84">
        <v>46196</v>
      </c>
    </row>
    <row r="9" spans="1:1" ht="15" customHeight="1" x14ac:dyDescent="0.25">
      <c r="A9" s="84">
        <v>46197</v>
      </c>
    </row>
    <row r="10" spans="1:1" ht="15" customHeight="1" x14ac:dyDescent="0.25">
      <c r="A10" s="84">
        <v>46198</v>
      </c>
    </row>
    <row r="11" spans="1:1" ht="15" customHeight="1" x14ac:dyDescent="0.25">
      <c r="A11" s="84">
        <v>46199</v>
      </c>
    </row>
    <row r="12" spans="1:1" ht="15" customHeight="1" x14ac:dyDescent="0.25">
      <c r="A12" s="84">
        <v>46203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64"/>
  <sheetViews>
    <sheetView zoomScaleNormal="100" workbookViewId="0"/>
  </sheetViews>
  <sheetFormatPr defaultColWidth="8.7109375" defaultRowHeight="15" x14ac:dyDescent="0.25"/>
  <sheetData>
    <row r="1" spans="1:1" ht="15" customHeight="1" x14ac:dyDescent="0.25">
      <c r="A1" s="83" t="s">
        <v>517</v>
      </c>
    </row>
    <row r="2" spans="1:1" ht="15" customHeight="1" x14ac:dyDescent="0.25">
      <c r="A2" s="85" t="s">
        <v>518</v>
      </c>
    </row>
    <row r="3" spans="1:1" ht="15" customHeight="1" x14ac:dyDescent="0.25">
      <c r="A3" s="85" t="s">
        <v>519</v>
      </c>
    </row>
    <row r="4" spans="1:1" ht="15" customHeight="1" x14ac:dyDescent="0.25">
      <c r="A4" s="85" t="s">
        <v>520</v>
      </c>
    </row>
    <row r="5" spans="1:1" ht="15" customHeight="1" x14ac:dyDescent="0.25">
      <c r="A5" s="85" t="s">
        <v>521</v>
      </c>
    </row>
    <row r="6" spans="1:1" ht="15" customHeight="1" x14ac:dyDescent="0.25">
      <c r="A6" s="85" t="s">
        <v>522</v>
      </c>
    </row>
    <row r="7" spans="1:1" ht="15" customHeight="1" x14ac:dyDescent="0.25">
      <c r="A7" s="85" t="s">
        <v>523</v>
      </c>
    </row>
    <row r="8" spans="1:1" ht="15" customHeight="1" x14ac:dyDescent="0.25">
      <c r="A8" s="85" t="s">
        <v>524</v>
      </c>
    </row>
    <row r="9" spans="1:1" ht="15" customHeight="1" x14ac:dyDescent="0.25">
      <c r="A9" s="85" t="s">
        <v>525</v>
      </c>
    </row>
    <row r="10" spans="1:1" ht="15" customHeight="1" x14ac:dyDescent="0.25">
      <c r="A10" s="85" t="s">
        <v>526</v>
      </c>
    </row>
    <row r="11" spans="1:1" ht="15" customHeight="1" x14ac:dyDescent="0.25">
      <c r="A11" s="85" t="s">
        <v>527</v>
      </c>
    </row>
    <row r="12" spans="1:1" ht="15" customHeight="1" x14ac:dyDescent="0.25">
      <c r="A12" s="85" t="s">
        <v>528</v>
      </c>
    </row>
    <row r="13" spans="1:1" ht="15" customHeight="1" x14ac:dyDescent="0.25">
      <c r="A13" s="85" t="s">
        <v>529</v>
      </c>
    </row>
    <row r="14" spans="1:1" ht="15" customHeight="1" x14ac:dyDescent="0.25">
      <c r="A14" s="85" t="s">
        <v>530</v>
      </c>
    </row>
    <row r="15" spans="1:1" ht="15" customHeight="1" x14ac:dyDescent="0.25">
      <c r="A15" s="85" t="s">
        <v>531</v>
      </c>
    </row>
    <row r="16" spans="1:1" ht="15" customHeight="1" x14ac:dyDescent="0.25">
      <c r="A16" s="85" t="s">
        <v>532</v>
      </c>
    </row>
    <row r="17" spans="1:1" ht="15" customHeight="1" x14ac:dyDescent="0.25">
      <c r="A17" s="85" t="s">
        <v>533</v>
      </c>
    </row>
    <row r="18" spans="1:1" ht="15" customHeight="1" x14ac:dyDescent="0.25">
      <c r="A18" s="85" t="s">
        <v>534</v>
      </c>
    </row>
    <row r="19" spans="1:1" ht="15" customHeight="1" x14ac:dyDescent="0.25">
      <c r="A19" s="85" t="s">
        <v>535</v>
      </c>
    </row>
    <row r="20" spans="1:1" ht="15" customHeight="1" x14ac:dyDescent="0.25">
      <c r="A20" s="85" t="s">
        <v>536</v>
      </c>
    </row>
    <row r="21" spans="1:1" ht="15" customHeight="1" x14ac:dyDescent="0.25">
      <c r="A21" s="85" t="s">
        <v>537</v>
      </c>
    </row>
    <row r="22" spans="1:1" ht="15" customHeight="1" x14ac:dyDescent="0.25">
      <c r="A22" s="85" t="s">
        <v>538</v>
      </c>
    </row>
    <row r="23" spans="1:1" ht="15" customHeight="1" x14ac:dyDescent="0.25">
      <c r="A23" s="85" t="s">
        <v>539</v>
      </c>
    </row>
    <row r="24" spans="1:1" ht="15" customHeight="1" x14ac:dyDescent="0.25">
      <c r="A24" s="85" t="s">
        <v>540</v>
      </c>
    </row>
    <row r="25" spans="1:1" ht="15" customHeight="1" x14ac:dyDescent="0.25">
      <c r="A25" s="85" t="s">
        <v>541</v>
      </c>
    </row>
    <row r="26" spans="1:1" ht="15" customHeight="1" x14ac:dyDescent="0.25">
      <c r="A26" s="85" t="s">
        <v>542</v>
      </c>
    </row>
    <row r="27" spans="1:1" ht="15" customHeight="1" x14ac:dyDescent="0.25">
      <c r="A27" s="85" t="s">
        <v>543</v>
      </c>
    </row>
    <row r="28" spans="1:1" ht="15" customHeight="1" x14ac:dyDescent="0.25">
      <c r="A28" s="85" t="s">
        <v>544</v>
      </c>
    </row>
    <row r="29" spans="1:1" ht="15" customHeight="1" x14ac:dyDescent="0.25">
      <c r="A29" s="85" t="s">
        <v>545</v>
      </c>
    </row>
    <row r="30" spans="1:1" ht="15" customHeight="1" x14ac:dyDescent="0.25">
      <c r="A30" s="85" t="s">
        <v>546</v>
      </c>
    </row>
    <row r="31" spans="1:1" ht="15" customHeight="1" x14ac:dyDescent="0.25">
      <c r="A31" s="85" t="s">
        <v>547</v>
      </c>
    </row>
    <row r="32" spans="1:1" ht="15" customHeight="1" x14ac:dyDescent="0.25">
      <c r="A32" s="85" t="s">
        <v>548</v>
      </c>
    </row>
    <row r="33" spans="1:1" ht="15" customHeight="1" x14ac:dyDescent="0.25">
      <c r="A33" s="85" t="s">
        <v>549</v>
      </c>
    </row>
    <row r="34" spans="1:1" ht="15" customHeight="1" x14ac:dyDescent="0.25">
      <c r="A34" s="85" t="s">
        <v>550</v>
      </c>
    </row>
    <row r="35" spans="1:1" ht="15" customHeight="1" x14ac:dyDescent="0.25">
      <c r="A35" s="85" t="s">
        <v>551</v>
      </c>
    </row>
    <row r="36" spans="1:1" ht="15" customHeight="1" x14ac:dyDescent="0.25">
      <c r="A36" s="85" t="s">
        <v>552</v>
      </c>
    </row>
    <row r="37" spans="1:1" ht="15" customHeight="1" x14ac:dyDescent="0.25">
      <c r="A37" s="85" t="s">
        <v>553</v>
      </c>
    </row>
    <row r="38" spans="1:1" ht="15" customHeight="1" x14ac:dyDescent="0.25">
      <c r="A38" s="85" t="s">
        <v>554</v>
      </c>
    </row>
    <row r="39" spans="1:1" ht="15" customHeight="1" x14ac:dyDescent="0.25">
      <c r="A39" s="85" t="s">
        <v>555</v>
      </c>
    </row>
    <row r="40" spans="1:1" ht="15" customHeight="1" x14ac:dyDescent="0.25">
      <c r="A40" s="85" t="s">
        <v>556</v>
      </c>
    </row>
    <row r="41" spans="1:1" ht="15" customHeight="1" x14ac:dyDescent="0.25">
      <c r="A41" s="85" t="s">
        <v>557</v>
      </c>
    </row>
    <row r="42" spans="1:1" ht="15" customHeight="1" x14ac:dyDescent="0.25">
      <c r="A42" s="85" t="s">
        <v>558</v>
      </c>
    </row>
    <row r="43" spans="1:1" ht="15" customHeight="1" x14ac:dyDescent="0.25">
      <c r="A43" s="85" t="s">
        <v>559</v>
      </c>
    </row>
    <row r="44" spans="1:1" ht="15" customHeight="1" x14ac:dyDescent="0.25">
      <c r="A44" s="85" t="s">
        <v>560</v>
      </c>
    </row>
    <row r="45" spans="1:1" ht="15" customHeight="1" x14ac:dyDescent="0.25">
      <c r="A45" s="85" t="s">
        <v>561</v>
      </c>
    </row>
    <row r="46" spans="1:1" ht="15" customHeight="1" x14ac:dyDescent="0.25">
      <c r="A46" s="85" t="s">
        <v>562</v>
      </c>
    </row>
    <row r="47" spans="1:1" ht="15" customHeight="1" x14ac:dyDescent="0.25">
      <c r="A47" s="85" t="s">
        <v>563</v>
      </c>
    </row>
    <row r="48" spans="1:1" ht="15" customHeight="1" x14ac:dyDescent="0.25">
      <c r="A48" s="85" t="s">
        <v>564</v>
      </c>
    </row>
    <row r="49" spans="1:1" ht="15" customHeight="1" x14ac:dyDescent="0.25">
      <c r="A49" s="85" t="s">
        <v>565</v>
      </c>
    </row>
    <row r="50" spans="1:1" ht="15" customHeight="1" x14ac:dyDescent="0.25">
      <c r="A50" s="85" t="s">
        <v>566</v>
      </c>
    </row>
    <row r="51" spans="1:1" ht="15" customHeight="1" x14ac:dyDescent="0.25">
      <c r="A51" s="85" t="s">
        <v>567</v>
      </c>
    </row>
    <row r="52" spans="1:1" ht="15" customHeight="1" x14ac:dyDescent="0.25">
      <c r="A52" s="85" t="s">
        <v>568</v>
      </c>
    </row>
    <row r="53" spans="1:1" ht="15" customHeight="1" x14ac:dyDescent="0.25">
      <c r="A53" s="85" t="s">
        <v>569</v>
      </c>
    </row>
    <row r="54" spans="1:1" ht="15" customHeight="1" x14ac:dyDescent="0.25">
      <c r="A54" s="85" t="s">
        <v>570</v>
      </c>
    </row>
    <row r="55" spans="1:1" ht="15" customHeight="1" x14ac:dyDescent="0.25">
      <c r="A55" s="85" t="s">
        <v>571</v>
      </c>
    </row>
    <row r="56" spans="1:1" ht="15" customHeight="1" x14ac:dyDescent="0.25">
      <c r="A56" s="85" t="s">
        <v>572</v>
      </c>
    </row>
    <row r="57" spans="1:1" ht="15" customHeight="1" x14ac:dyDescent="0.25">
      <c r="A57" s="85" t="s">
        <v>573</v>
      </c>
    </row>
    <row r="58" spans="1:1" ht="15" customHeight="1" x14ac:dyDescent="0.25">
      <c r="A58" s="85" t="s">
        <v>574</v>
      </c>
    </row>
    <row r="59" spans="1:1" ht="15" customHeight="1" x14ac:dyDescent="0.25">
      <c r="A59" s="85" t="s">
        <v>575</v>
      </c>
    </row>
    <row r="60" spans="1:1" ht="15" customHeight="1" x14ac:dyDescent="0.25">
      <c r="A60" s="85" t="s">
        <v>576</v>
      </c>
    </row>
    <row r="61" spans="1:1" ht="15" customHeight="1" x14ac:dyDescent="0.25">
      <c r="A61" s="85" t="s">
        <v>577</v>
      </c>
    </row>
    <row r="62" spans="1:1" ht="15" customHeight="1" x14ac:dyDescent="0.25">
      <c r="A62" s="85" t="s">
        <v>578</v>
      </c>
    </row>
    <row r="63" spans="1:1" ht="15" customHeight="1" x14ac:dyDescent="0.25">
      <c r="A63" s="85" t="s">
        <v>579</v>
      </c>
    </row>
    <row r="64" spans="1:1" ht="15" customHeight="1" x14ac:dyDescent="0.25">
      <c r="A64" s="85" t="s">
        <v>580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8</vt:i4>
      </vt:variant>
    </vt:vector>
  </HeadingPairs>
  <TitlesOfParts>
    <vt:vector size="21" baseType="lpstr">
      <vt:lpstr>Painel</vt:lpstr>
      <vt:lpstr>Painel Geral</vt:lpstr>
      <vt:lpstr>Log Diário</vt:lpstr>
      <vt:lpstr>CWA - Referência</vt:lpstr>
      <vt:lpstr>Rogério Matos</vt:lpstr>
      <vt:lpstr>Marcos Antonio</vt:lpstr>
      <vt:lpstr>Rafael Vieira</vt:lpstr>
      <vt:lpstr>Edigar Barreto</vt:lpstr>
      <vt:lpstr>Charles Johnson</vt:lpstr>
      <vt:lpstr>Daniel Henrique</vt:lpstr>
      <vt:lpstr>Renan</vt:lpstr>
      <vt:lpstr>_Datas</vt:lpstr>
      <vt:lpstr>_CWAs</vt:lpstr>
      <vt:lpstr>'Charles Johnson'!Area_de_impressao</vt:lpstr>
      <vt:lpstr>'Daniel Henrique'!Area_de_impressao</vt:lpstr>
      <vt:lpstr>'Edigar Barreto'!Area_de_impressao</vt:lpstr>
      <vt:lpstr>'Marcos Antonio'!Area_de_impressao</vt:lpstr>
      <vt:lpstr>'Painel Geral'!Area_de_impressao</vt:lpstr>
      <vt:lpstr>'Rafael Vieira'!Area_de_impressao</vt:lpstr>
      <vt:lpstr>Renan!Area_de_impressao</vt:lpstr>
      <vt:lpstr>'Rogério Matos'!Area_de_impressao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Samuel Souza - Milplan Engª.</cp:lastModifiedBy>
  <cp:revision>56</cp:revision>
  <cp:lastPrinted>2026-07-01T10:43:44Z</cp:lastPrinted>
  <dcterms:created xsi:type="dcterms:W3CDTF">2026-06-15T20:24:28Z</dcterms:created>
  <dcterms:modified xsi:type="dcterms:W3CDTF">2026-07-01T10:45:03Z</dcterms:modified>
  <dc:language>en-US</dc:language>
</cp:coreProperties>
</file>